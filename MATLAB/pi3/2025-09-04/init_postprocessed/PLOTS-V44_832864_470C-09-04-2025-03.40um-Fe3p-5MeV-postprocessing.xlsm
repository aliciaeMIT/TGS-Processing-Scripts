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liciae/projects/shortlab/TGS-Processing-Scripts/MATLAB/pi3/2025-09-04/postprocessed/"/>
    </mc:Choice>
  </mc:AlternateContent>
  <xr:revisionPtr revIDLastSave="0" documentId="13_ncr:9_{71CD31D2-277D-9445-9577-4D28855D6115}" xr6:coauthVersionLast="47" xr6:coauthVersionMax="47" xr10:uidLastSave="{00000000-0000-0000-0000-000000000000}"/>
  <bookViews>
    <workbookView xWindow="160" yWindow="920" windowWidth="34240" windowHeight="21260" xr2:uid="{72391376-F62D-7241-A734-1FC6B10FDD38}"/>
  </bookViews>
  <sheets>
    <sheet name="V44_832864_470C-09-04-2025-03.4" sheetId="1" r:id="rId1"/>
    <sheet name="Sheet1" sheetId="2" r:id="rId2"/>
    <sheet name="dpa_conversion" sheetId="3" r:id="rId3"/>
    <sheet name="Sheet3" sheetId="4" r:id="rId4"/>
    <sheet name="plot saw freq vs dpa" sheetId="5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" l="1"/>
  <c r="G3" i="5" s="1"/>
  <c r="G4" i="5" s="1"/>
  <c r="G5" i="5" s="1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M14" i="4"/>
  <c r="M3" i="4"/>
  <c r="M4" i="4"/>
  <c r="M5" i="4"/>
  <c r="M6" i="4"/>
  <c r="M7" i="4"/>
  <c r="M8" i="4"/>
  <c r="M9" i="4"/>
  <c r="M10" i="4"/>
  <c r="M11" i="4"/>
  <c r="M12" i="4"/>
  <c r="M13" i="4"/>
  <c r="M2" i="4"/>
  <c r="C2" i="4"/>
  <c r="C13" i="4"/>
  <c r="C12" i="4"/>
  <c r="C11" i="4"/>
  <c r="C10" i="4"/>
  <c r="C9" i="4"/>
  <c r="C8" i="4"/>
  <c r="C7" i="4"/>
  <c r="C6" i="4"/>
  <c r="C5" i="4"/>
  <c r="C4" i="4"/>
  <c r="C3" i="4"/>
  <c r="D14" i="4"/>
  <c r="E14" i="4" s="1"/>
  <c r="N2" i="4"/>
  <c r="L3" i="4"/>
  <c r="N3" i="4" s="1"/>
  <c r="L4" i="4"/>
  <c r="N4" i="4" s="1"/>
  <c r="L5" i="4"/>
  <c r="N5" i="4" s="1"/>
  <c r="L6" i="4"/>
  <c r="N6" i="4" s="1"/>
  <c r="L7" i="4"/>
  <c r="N7" i="4" s="1"/>
  <c r="L8" i="4"/>
  <c r="N8" i="4" s="1"/>
  <c r="L9" i="4"/>
  <c r="N9" i="4" s="1"/>
  <c r="L10" i="4"/>
  <c r="N10" i="4" s="1"/>
  <c r="L11" i="4"/>
  <c r="N11" i="4" s="1"/>
  <c r="L12" i="4"/>
  <c r="N12" i="4" s="1"/>
  <c r="L13" i="4"/>
  <c r="N13" i="4" s="1"/>
  <c r="K3" i="4"/>
  <c r="K4" i="4"/>
  <c r="K5" i="4"/>
  <c r="K6" i="4"/>
  <c r="K7" i="4"/>
  <c r="K8" i="4"/>
  <c r="K9" i="4"/>
  <c r="K10" i="4"/>
  <c r="K11" i="4"/>
  <c r="K12" i="4"/>
  <c r="K13" i="4"/>
  <c r="L2" i="4"/>
  <c r="K2" i="4"/>
  <c r="J14" i="4"/>
  <c r="L14" i="4" s="1"/>
  <c r="N14" i="4" s="1"/>
  <c r="I14" i="4"/>
  <c r="K14" i="4" s="1"/>
  <c r="H14" i="4"/>
  <c r="F14" i="3"/>
  <c r="G14" i="3"/>
  <c r="E14" i="3"/>
  <c r="E20" i="3"/>
  <c r="E18" i="3"/>
  <c r="G18" i="2"/>
  <c r="G16" i="2"/>
  <c r="G4" i="2"/>
  <c r="G5" i="2"/>
  <c r="G6" i="2"/>
  <c r="G7" i="2"/>
  <c r="G8" i="2"/>
  <c r="G9" i="2"/>
  <c r="G10" i="2"/>
  <c r="G11" i="2"/>
  <c r="G12" i="2"/>
  <c r="G13" i="2"/>
  <c r="G14" i="2"/>
  <c r="G3" i="2"/>
  <c r="H117" i="3"/>
  <c r="G117" i="3"/>
  <c r="H116" i="3"/>
  <c r="G116" i="3"/>
  <c r="H115" i="3"/>
  <c r="G115" i="3"/>
  <c r="H114" i="3"/>
  <c r="G114" i="3"/>
  <c r="H113" i="3"/>
  <c r="G113" i="3"/>
  <c r="H112" i="3"/>
  <c r="G112" i="3"/>
  <c r="H111" i="3"/>
  <c r="G111" i="3"/>
  <c r="H110" i="3"/>
  <c r="G110" i="3"/>
  <c r="H109" i="3"/>
  <c r="G109" i="3"/>
  <c r="H108" i="3"/>
  <c r="G108" i="3"/>
  <c r="H107" i="3"/>
  <c r="G107" i="3"/>
  <c r="H106" i="3"/>
  <c r="G106" i="3"/>
  <c r="H105" i="3"/>
  <c r="G105" i="3"/>
  <c r="H104" i="3"/>
  <c r="G104" i="3"/>
  <c r="H103" i="3"/>
  <c r="G103" i="3"/>
  <c r="H102" i="3"/>
  <c r="G102" i="3"/>
  <c r="H101" i="3"/>
  <c r="G101" i="3"/>
  <c r="H100" i="3"/>
  <c r="G100" i="3"/>
  <c r="H99" i="3"/>
  <c r="G99" i="3"/>
  <c r="H98" i="3"/>
  <c r="G98" i="3"/>
  <c r="H97" i="3"/>
  <c r="G97" i="3"/>
  <c r="H96" i="3"/>
  <c r="G96" i="3"/>
  <c r="H95" i="3"/>
  <c r="G95" i="3"/>
  <c r="H94" i="3"/>
  <c r="G94" i="3"/>
  <c r="H93" i="3"/>
  <c r="G93" i="3"/>
  <c r="H92" i="3"/>
  <c r="G92" i="3"/>
  <c r="H91" i="3"/>
  <c r="G91" i="3"/>
  <c r="H90" i="3"/>
  <c r="G90" i="3"/>
  <c r="H89" i="3"/>
  <c r="G89" i="3"/>
  <c r="H88" i="3"/>
  <c r="G88" i="3"/>
  <c r="H87" i="3"/>
  <c r="G87" i="3"/>
  <c r="H86" i="3"/>
  <c r="G86" i="3"/>
  <c r="H85" i="3"/>
  <c r="G85" i="3"/>
  <c r="H84" i="3"/>
  <c r="G84" i="3"/>
  <c r="H83" i="3"/>
  <c r="G83" i="3"/>
  <c r="H82" i="3"/>
  <c r="G82" i="3"/>
  <c r="H81" i="3"/>
  <c r="G81" i="3"/>
  <c r="H80" i="3"/>
  <c r="G80" i="3"/>
  <c r="H79" i="3"/>
  <c r="G79" i="3"/>
  <c r="H78" i="3"/>
  <c r="G78" i="3"/>
  <c r="H77" i="3"/>
  <c r="G77" i="3"/>
  <c r="H76" i="3"/>
  <c r="G76" i="3"/>
  <c r="H75" i="3"/>
  <c r="G75" i="3"/>
  <c r="H74" i="3"/>
  <c r="G74" i="3"/>
  <c r="H73" i="3"/>
  <c r="G73" i="3"/>
  <c r="H72" i="3"/>
  <c r="G72" i="3"/>
  <c r="H71" i="3"/>
  <c r="G71" i="3"/>
  <c r="H70" i="3"/>
  <c r="G70" i="3"/>
  <c r="H69" i="3"/>
  <c r="G69" i="3"/>
  <c r="H68" i="3"/>
  <c r="G68" i="3"/>
  <c r="H67" i="3"/>
  <c r="G67" i="3"/>
  <c r="H66" i="3"/>
  <c r="G66" i="3"/>
  <c r="H65" i="3"/>
  <c r="G65" i="3"/>
  <c r="H64" i="3"/>
  <c r="G64" i="3"/>
  <c r="H63" i="3"/>
  <c r="G63" i="3"/>
  <c r="H62" i="3"/>
  <c r="G62" i="3"/>
  <c r="H61" i="3"/>
  <c r="G61" i="3"/>
  <c r="H60" i="3"/>
  <c r="G60" i="3"/>
  <c r="H59" i="3"/>
  <c r="G59" i="3"/>
  <c r="H58" i="3"/>
  <c r="G58" i="3"/>
  <c r="H57" i="3"/>
  <c r="G57" i="3"/>
  <c r="H56" i="3"/>
  <c r="G56" i="3"/>
  <c r="H55" i="3"/>
  <c r="G55" i="3"/>
  <c r="H54" i="3"/>
  <c r="G54" i="3"/>
  <c r="H53" i="3"/>
  <c r="G53" i="3"/>
  <c r="H52" i="3"/>
  <c r="G52" i="3"/>
  <c r="H51" i="3"/>
  <c r="G51" i="3"/>
  <c r="H50" i="3"/>
  <c r="G50" i="3"/>
  <c r="H49" i="3"/>
  <c r="G49" i="3"/>
  <c r="H48" i="3"/>
  <c r="G48" i="3"/>
  <c r="H47" i="3"/>
  <c r="G47" i="3"/>
  <c r="H46" i="3"/>
  <c r="G46" i="3"/>
  <c r="H45" i="3"/>
  <c r="G45" i="3"/>
  <c r="H44" i="3"/>
  <c r="G44" i="3"/>
  <c r="H43" i="3"/>
  <c r="G43" i="3"/>
  <c r="H42" i="3"/>
  <c r="G42" i="3"/>
  <c r="H41" i="3"/>
  <c r="G41" i="3"/>
  <c r="H40" i="3"/>
  <c r="G40" i="3"/>
  <c r="H39" i="3"/>
  <c r="G39" i="3"/>
  <c r="E39" i="3"/>
  <c r="Q56" i="3" s="1"/>
  <c r="H38" i="3"/>
  <c r="G38" i="3"/>
  <c r="E38" i="3"/>
  <c r="Q53" i="3" s="1"/>
  <c r="H37" i="3"/>
  <c r="G37" i="3"/>
  <c r="H36" i="3"/>
  <c r="G36" i="3"/>
  <c r="H35" i="3"/>
  <c r="G35" i="3"/>
  <c r="H34" i="3"/>
  <c r="G34" i="3"/>
  <c r="E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E26" i="3"/>
  <c r="H25" i="3"/>
  <c r="G25" i="3"/>
  <c r="H24" i="3"/>
  <c r="G24" i="3"/>
  <c r="H23" i="3"/>
  <c r="G23" i="3"/>
  <c r="H22" i="3"/>
  <c r="G22" i="3"/>
  <c r="H21" i="3"/>
  <c r="G21" i="3"/>
  <c r="E21" i="3"/>
  <c r="E22" i="3" s="1"/>
  <c r="E24" i="3" s="1"/>
  <c r="H20" i="3"/>
  <c r="G20" i="3"/>
  <c r="H19" i="3"/>
  <c r="G19" i="3"/>
  <c r="H18" i="3"/>
  <c r="G18" i="3"/>
  <c r="F4" i="2"/>
  <c r="F5" i="2"/>
  <c r="F6" i="2"/>
  <c r="F7" i="2"/>
  <c r="F8" i="2"/>
  <c r="F9" i="2"/>
  <c r="F10" i="2"/>
  <c r="F11" i="2"/>
  <c r="F12" i="2"/>
  <c r="F13" i="2"/>
  <c r="F14" i="2"/>
  <c r="F3" i="2"/>
  <c r="B3" i="2"/>
  <c r="C3" i="2" s="1"/>
  <c r="B5" i="2"/>
  <c r="C5" i="2" s="1"/>
  <c r="B6" i="2"/>
  <c r="C6" i="2" s="1"/>
  <c r="D6" i="2" s="1"/>
  <c r="B7" i="2"/>
  <c r="C7" i="2" s="1"/>
  <c r="D7" i="2" s="1"/>
  <c r="B8" i="2"/>
  <c r="C8" i="2" s="1"/>
  <c r="D8" i="2" s="1"/>
  <c r="B9" i="2"/>
  <c r="C9" i="2" s="1"/>
  <c r="D9" i="2" s="1"/>
  <c r="B10" i="2"/>
  <c r="C10" i="2" s="1"/>
  <c r="B11" i="2"/>
  <c r="C11" i="2" s="1"/>
  <c r="D11" i="2" s="1"/>
  <c r="B12" i="2"/>
  <c r="C12" i="2" s="1"/>
  <c r="D12" i="2" s="1"/>
  <c r="B13" i="2"/>
  <c r="C13" i="2" s="1"/>
  <c r="D13" i="2" s="1"/>
  <c r="B14" i="2"/>
  <c r="C14" i="2" s="1"/>
  <c r="D14" i="2" s="1"/>
  <c r="B4" i="2"/>
  <c r="C4" i="2" s="1"/>
  <c r="D4" i="2" s="1"/>
  <c r="B2" i="2"/>
  <c r="C2" i="2" s="1"/>
  <c r="J76" i="3" l="1"/>
  <c r="Q55" i="3"/>
  <c r="J96" i="3"/>
  <c r="J114" i="3"/>
  <c r="J92" i="3"/>
  <c r="E27" i="3"/>
  <c r="E28" i="3" s="1"/>
  <c r="I63" i="3" s="1"/>
  <c r="L63" i="3" s="1"/>
  <c r="J100" i="3"/>
  <c r="J77" i="3"/>
  <c r="J106" i="3"/>
  <c r="J113" i="3"/>
  <c r="J95" i="3"/>
  <c r="Q52" i="3"/>
  <c r="J83" i="3"/>
  <c r="J107" i="3"/>
  <c r="J105" i="3"/>
  <c r="J81" i="3"/>
  <c r="J112" i="3"/>
  <c r="J94" i="3"/>
  <c r="J101" i="3"/>
  <c r="J99" i="3"/>
  <c r="J87" i="3"/>
  <c r="J88" i="3"/>
  <c r="J89" i="3"/>
  <c r="J103" i="3"/>
  <c r="J74" i="3"/>
  <c r="J86" i="3"/>
  <c r="J110" i="3"/>
  <c r="J79" i="3"/>
  <c r="J84" i="3"/>
  <c r="J98" i="3"/>
  <c r="J116" i="3"/>
  <c r="J73" i="3"/>
  <c r="J78" i="3"/>
  <c r="J91" i="3"/>
  <c r="J102" i="3"/>
  <c r="J109" i="3"/>
  <c r="J75" i="3"/>
  <c r="J93" i="3"/>
  <c r="J104" i="3"/>
  <c r="J111" i="3"/>
  <c r="J72" i="3"/>
  <c r="J85" i="3"/>
  <c r="J90" i="3"/>
  <c r="J117" i="3"/>
  <c r="J80" i="3"/>
  <c r="J82" i="3"/>
  <c r="J97" i="3"/>
  <c r="J108" i="3"/>
  <c r="J115" i="3"/>
  <c r="D10" i="2"/>
  <c r="D5" i="2"/>
  <c r="D3" i="2"/>
  <c r="I89" i="3" l="1"/>
  <c r="I85" i="3"/>
  <c r="K85" i="3" s="1"/>
  <c r="I58" i="3"/>
  <c r="I81" i="3"/>
  <c r="K81" i="3" s="1"/>
  <c r="I36" i="3"/>
  <c r="J36" i="3" s="1"/>
  <c r="I82" i="3"/>
  <c r="L82" i="3" s="1"/>
  <c r="I106" i="3"/>
  <c r="L106" i="3" s="1"/>
  <c r="I30" i="3"/>
  <c r="K30" i="3" s="1"/>
  <c r="I97" i="3"/>
  <c r="L97" i="3" s="1"/>
  <c r="I100" i="3"/>
  <c r="L100" i="3" s="1"/>
  <c r="I32" i="3"/>
  <c r="J32" i="3" s="1"/>
  <c r="I61" i="3"/>
  <c r="L61" i="3" s="1"/>
  <c r="I23" i="3"/>
  <c r="J23" i="3" s="1"/>
  <c r="I74" i="3"/>
  <c r="K74" i="3" s="1"/>
  <c r="I20" i="3"/>
  <c r="K20" i="3" s="1"/>
  <c r="I88" i="3"/>
  <c r="I25" i="3"/>
  <c r="L25" i="3" s="1"/>
  <c r="I46" i="3"/>
  <c r="L46" i="3" s="1"/>
  <c r="I70" i="3"/>
  <c r="L70" i="3" s="1"/>
  <c r="I80" i="3"/>
  <c r="K80" i="3" s="1"/>
  <c r="I83" i="3"/>
  <c r="L83" i="3" s="1"/>
  <c r="I28" i="3"/>
  <c r="J28" i="3" s="1"/>
  <c r="I84" i="3"/>
  <c r="L84" i="3" s="1"/>
  <c r="I18" i="3"/>
  <c r="K18" i="3" s="1"/>
  <c r="I114" i="3"/>
  <c r="I77" i="3"/>
  <c r="L77" i="3" s="1"/>
  <c r="I66" i="3"/>
  <c r="L66" i="3" s="1"/>
  <c r="I34" i="3"/>
  <c r="K34" i="3" s="1"/>
  <c r="I91" i="3"/>
  <c r="L91" i="3" s="1"/>
  <c r="I38" i="3"/>
  <c r="J38" i="3" s="1"/>
  <c r="I52" i="3"/>
  <c r="L52" i="3" s="1"/>
  <c r="I44" i="3"/>
  <c r="K44" i="3" s="1"/>
  <c r="I75" i="3"/>
  <c r="L75" i="3" s="1"/>
  <c r="I42" i="3"/>
  <c r="L42" i="3" s="1"/>
  <c r="I47" i="3"/>
  <c r="J47" i="3" s="1"/>
  <c r="I65" i="3"/>
  <c r="J65" i="3" s="1"/>
  <c r="I90" i="3"/>
  <c r="I98" i="3"/>
  <c r="L98" i="3" s="1"/>
  <c r="I64" i="3"/>
  <c r="L64" i="3" s="1"/>
  <c r="I102" i="3"/>
  <c r="K102" i="3" s="1"/>
  <c r="I33" i="3"/>
  <c r="J33" i="3" s="1"/>
  <c r="I78" i="3"/>
  <c r="L78" i="3" s="1"/>
  <c r="I53" i="3"/>
  <c r="K53" i="3" s="1"/>
  <c r="I86" i="3"/>
  <c r="L86" i="3" s="1"/>
  <c r="I71" i="3"/>
  <c r="J71" i="3" s="1"/>
  <c r="K98" i="3"/>
  <c r="I101" i="3"/>
  <c r="L101" i="3" s="1"/>
  <c r="I27" i="3"/>
  <c r="J27" i="3" s="1"/>
  <c r="I115" i="3"/>
  <c r="K115" i="3" s="1"/>
  <c r="I72" i="3"/>
  <c r="K72" i="3" s="1"/>
  <c r="I73" i="3"/>
  <c r="L73" i="3" s="1"/>
  <c r="I116" i="3"/>
  <c r="L116" i="3" s="1"/>
  <c r="I76" i="3"/>
  <c r="K76" i="3" s="1"/>
  <c r="I22" i="3"/>
  <c r="K22" i="3" s="1"/>
  <c r="I68" i="3"/>
  <c r="K68" i="3" s="1"/>
  <c r="I35" i="3"/>
  <c r="I41" i="3"/>
  <c r="L41" i="3" s="1"/>
  <c r="I108" i="3"/>
  <c r="K108" i="3" s="1"/>
  <c r="J34" i="3"/>
  <c r="I109" i="3"/>
  <c r="I67" i="3"/>
  <c r="L67" i="3" s="1"/>
  <c r="I69" i="3"/>
  <c r="I55" i="3"/>
  <c r="J55" i="3" s="1"/>
  <c r="I56" i="3"/>
  <c r="J56" i="3" s="1"/>
  <c r="I93" i="3"/>
  <c r="I48" i="3"/>
  <c r="K64" i="3"/>
  <c r="I94" i="3"/>
  <c r="L94" i="3" s="1"/>
  <c r="I60" i="3"/>
  <c r="J60" i="3" s="1"/>
  <c r="I51" i="3"/>
  <c r="I21" i="3"/>
  <c r="J21" i="3" s="1"/>
  <c r="I37" i="3"/>
  <c r="J37" i="3" s="1"/>
  <c r="I103" i="3"/>
  <c r="I96" i="3"/>
  <c r="L96" i="3" s="1"/>
  <c r="I105" i="3"/>
  <c r="K105" i="3" s="1"/>
  <c r="I112" i="3"/>
  <c r="L112" i="3" s="1"/>
  <c r="I111" i="3"/>
  <c r="I29" i="3"/>
  <c r="J29" i="3" s="1"/>
  <c r="I57" i="3"/>
  <c r="I92" i="3"/>
  <c r="K92" i="3" s="1"/>
  <c r="I87" i="3"/>
  <c r="K87" i="3" s="1"/>
  <c r="I110" i="3"/>
  <c r="K110" i="3" s="1"/>
  <c r="I26" i="3"/>
  <c r="L26" i="3" s="1"/>
  <c r="I113" i="3"/>
  <c r="L113" i="3" s="1"/>
  <c r="I117" i="3"/>
  <c r="L117" i="3" s="1"/>
  <c r="I50" i="3"/>
  <c r="I104" i="3"/>
  <c r="L104" i="3" s="1"/>
  <c r="I45" i="3"/>
  <c r="L45" i="3" s="1"/>
  <c r="I24" i="3"/>
  <c r="I31" i="3"/>
  <c r="K31" i="3" s="1"/>
  <c r="I79" i="3"/>
  <c r="K79" i="3" s="1"/>
  <c r="I43" i="3"/>
  <c r="L43" i="3" s="1"/>
  <c r="I39" i="3"/>
  <c r="L39" i="3" s="1"/>
  <c r="I49" i="3"/>
  <c r="J49" i="3" s="1"/>
  <c r="I54" i="3"/>
  <c r="J54" i="3" s="1"/>
  <c r="I62" i="3"/>
  <c r="K62" i="3" s="1"/>
  <c r="I95" i="3"/>
  <c r="I99" i="3"/>
  <c r="K99" i="3" s="1"/>
  <c r="I19" i="3"/>
  <c r="K19" i="3" s="1"/>
  <c r="I40" i="3"/>
  <c r="J40" i="3" s="1"/>
  <c r="I107" i="3"/>
  <c r="L107" i="3" s="1"/>
  <c r="I59" i="3"/>
  <c r="J59" i="3" s="1"/>
  <c r="L90" i="3"/>
  <c r="K95" i="3"/>
  <c r="L95" i="3"/>
  <c r="L85" i="3"/>
  <c r="K78" i="3"/>
  <c r="L114" i="3"/>
  <c r="K114" i="3"/>
  <c r="K90" i="3"/>
  <c r="L72" i="3"/>
  <c r="K67" i="3"/>
  <c r="L89" i="3"/>
  <c r="K89" i="3"/>
  <c r="L19" i="3"/>
  <c r="L36" i="3"/>
  <c r="K36" i="3"/>
  <c r="K63" i="3"/>
  <c r="K23" i="3"/>
  <c r="L23" i="3"/>
  <c r="L115" i="3"/>
  <c r="L74" i="3"/>
  <c r="K77" i="3"/>
  <c r="L20" i="3"/>
  <c r="J20" i="3"/>
  <c r="J63" i="3"/>
  <c r="J67" i="3"/>
  <c r="K96" i="3" l="1"/>
  <c r="K91" i="3"/>
  <c r="L81" i="3"/>
  <c r="K55" i="3"/>
  <c r="J64" i="3"/>
  <c r="K73" i="3"/>
  <c r="K116" i="3"/>
  <c r="L102" i="3"/>
  <c r="L34" i="3"/>
  <c r="J46" i="3"/>
  <c r="K59" i="3"/>
  <c r="L59" i="3"/>
  <c r="K107" i="3"/>
  <c r="K21" i="3"/>
  <c r="K43" i="3"/>
  <c r="K46" i="3"/>
  <c r="K75" i="3"/>
  <c r="L40" i="3"/>
  <c r="K56" i="3"/>
  <c r="J25" i="3"/>
  <c r="K113" i="3"/>
  <c r="L33" i="3"/>
  <c r="J53" i="3"/>
  <c r="K33" i="3"/>
  <c r="L105" i="3"/>
  <c r="K54" i="3"/>
  <c r="L80" i="3"/>
  <c r="L110" i="3"/>
  <c r="J70" i="3"/>
  <c r="J39" i="3"/>
  <c r="L71" i="3"/>
  <c r="L21" i="3"/>
  <c r="J61" i="3"/>
  <c r="K84" i="3"/>
  <c r="K26" i="3"/>
  <c r="K101" i="3"/>
  <c r="J30" i="3"/>
  <c r="L56" i="3"/>
  <c r="L53" i="3"/>
  <c r="L92" i="3"/>
  <c r="K37" i="3"/>
  <c r="L37" i="3"/>
  <c r="K82" i="3"/>
  <c r="L79" i="3"/>
  <c r="J26" i="3"/>
  <c r="L54" i="3"/>
  <c r="L60" i="3"/>
  <c r="J18" i="3"/>
  <c r="K71" i="3"/>
  <c r="K60" i="3"/>
  <c r="L76" i="3"/>
  <c r="K39" i="3"/>
  <c r="K49" i="3"/>
  <c r="K97" i="3"/>
  <c r="L30" i="3"/>
  <c r="J43" i="3"/>
  <c r="K100" i="3"/>
  <c r="L47" i="3"/>
  <c r="K47" i="3"/>
  <c r="N75" i="3"/>
  <c r="P75" i="3" s="1"/>
  <c r="K70" i="3"/>
  <c r="K61" i="3"/>
  <c r="K94" i="3"/>
  <c r="K106" i="3"/>
  <c r="K42" i="3"/>
  <c r="L38" i="3"/>
  <c r="K38" i="3"/>
  <c r="K28" i="3"/>
  <c r="L18" i="3"/>
  <c r="L28" i="3"/>
  <c r="J42" i="3"/>
  <c r="L88" i="3"/>
  <c r="K88" i="3"/>
  <c r="J66" i="3"/>
  <c r="K66" i="3"/>
  <c r="L58" i="3"/>
  <c r="J58" i="3"/>
  <c r="K58" i="3"/>
  <c r="L87" i="3"/>
  <c r="J44" i="3"/>
  <c r="L27" i="3"/>
  <c r="K65" i="3"/>
  <c r="K25" i="3"/>
  <c r="K83" i="3"/>
  <c r="L32" i="3"/>
  <c r="K86" i="3"/>
  <c r="L108" i="3"/>
  <c r="K45" i="3"/>
  <c r="K52" i="3"/>
  <c r="K27" i="3"/>
  <c r="K32" i="3"/>
  <c r="J52" i="3"/>
  <c r="L65" i="3"/>
  <c r="K40" i="3"/>
  <c r="L44" i="3"/>
  <c r="N59" i="3"/>
  <c r="P59" i="3" s="1"/>
  <c r="M82" i="3"/>
  <c r="O82" i="3" s="1"/>
  <c r="L99" i="3"/>
  <c r="M72" i="3"/>
  <c r="O72" i="3" s="1"/>
  <c r="N81" i="3"/>
  <c r="P81" i="3" s="1"/>
  <c r="M88" i="3"/>
  <c r="O88" i="3" s="1"/>
  <c r="N73" i="3"/>
  <c r="P73" i="3" s="1"/>
  <c r="L48" i="3"/>
  <c r="J48" i="3"/>
  <c r="K48" i="3"/>
  <c r="N65" i="3"/>
  <c r="P65" i="3" s="1"/>
  <c r="N61" i="3"/>
  <c r="P61" i="3" s="1"/>
  <c r="K24" i="3"/>
  <c r="N55" i="3"/>
  <c r="P55" i="3" s="1"/>
  <c r="N94" i="3"/>
  <c r="P94" i="3" s="1"/>
  <c r="M115" i="3"/>
  <c r="O115" i="3" s="1"/>
  <c r="N110" i="3"/>
  <c r="P110" i="3" s="1"/>
  <c r="M64" i="3"/>
  <c r="O64" i="3" s="1"/>
  <c r="N116" i="3"/>
  <c r="P116" i="3" s="1"/>
  <c r="N35" i="3"/>
  <c r="P35" i="3" s="1"/>
  <c r="N53" i="3"/>
  <c r="P53" i="3" s="1"/>
  <c r="L111" i="3"/>
  <c r="K111" i="3"/>
  <c r="L93" i="3"/>
  <c r="K93" i="3"/>
  <c r="N78" i="3"/>
  <c r="P78" i="3" s="1"/>
  <c r="N68" i="3"/>
  <c r="P68" i="3" s="1"/>
  <c r="M90" i="3"/>
  <c r="O90" i="3" s="1"/>
  <c r="M95" i="3"/>
  <c r="O95" i="3" s="1"/>
  <c r="M51" i="3"/>
  <c r="O51" i="3" s="1"/>
  <c r="M42" i="3"/>
  <c r="O42" i="3" s="1"/>
  <c r="M107" i="3"/>
  <c r="O107" i="3" s="1"/>
  <c r="M45" i="3"/>
  <c r="O45" i="3" s="1"/>
  <c r="N87" i="3"/>
  <c r="P87" i="3" s="1"/>
  <c r="J50" i="3"/>
  <c r="K50" i="3"/>
  <c r="N103" i="3"/>
  <c r="P103" i="3" s="1"/>
  <c r="M52" i="3"/>
  <c r="O52" i="3" s="1"/>
  <c r="N37" i="3"/>
  <c r="P37" i="3" s="1"/>
  <c r="N113" i="3"/>
  <c r="P113" i="3" s="1"/>
  <c r="M94" i="3"/>
  <c r="O94" i="3" s="1"/>
  <c r="M84" i="3"/>
  <c r="O84" i="3" s="1"/>
  <c r="M71" i="3"/>
  <c r="O71" i="3" s="1"/>
  <c r="N20" i="3"/>
  <c r="P20" i="3" s="1"/>
  <c r="N83" i="3"/>
  <c r="P83" i="3" s="1"/>
  <c r="N39" i="3"/>
  <c r="P39" i="3" s="1"/>
  <c r="N107" i="3"/>
  <c r="P107" i="3" s="1"/>
  <c r="M50" i="3"/>
  <c r="O50" i="3" s="1"/>
  <c r="N56" i="3"/>
  <c r="P56" i="3" s="1"/>
  <c r="M73" i="3"/>
  <c r="O73" i="3" s="1"/>
  <c r="N33" i="3"/>
  <c r="P33" i="3" s="1"/>
  <c r="N76" i="3"/>
  <c r="P76" i="3" s="1"/>
  <c r="M41" i="3"/>
  <c r="O41" i="3" s="1"/>
  <c r="M55" i="3"/>
  <c r="O55" i="3" s="1"/>
  <c r="N109" i="3"/>
  <c r="P109" i="3" s="1"/>
  <c r="N117" i="3"/>
  <c r="P117" i="3" s="1"/>
  <c r="N60" i="3"/>
  <c r="P60" i="3" s="1"/>
  <c r="N27" i="3"/>
  <c r="P27" i="3" s="1"/>
  <c r="N97" i="3"/>
  <c r="P97" i="3" s="1"/>
  <c r="N84" i="3"/>
  <c r="P84" i="3" s="1"/>
  <c r="N18" i="3"/>
  <c r="P18" i="3" s="1"/>
  <c r="M114" i="3"/>
  <c r="O114" i="3" s="1"/>
  <c r="N105" i="3"/>
  <c r="P105" i="3" s="1"/>
  <c r="M85" i="3"/>
  <c r="O85" i="3" s="1"/>
  <c r="N98" i="3"/>
  <c r="P98" i="3" s="1"/>
  <c r="M77" i="3"/>
  <c r="O77" i="3" s="1"/>
  <c r="M39" i="3"/>
  <c r="O39" i="3" s="1"/>
  <c r="M66" i="3"/>
  <c r="O66" i="3" s="1"/>
  <c r="N29" i="3"/>
  <c r="P29" i="3" s="1"/>
  <c r="N111" i="3"/>
  <c r="P111" i="3" s="1"/>
  <c r="L69" i="3"/>
  <c r="K69" i="3"/>
  <c r="J69" i="3"/>
  <c r="M63" i="3"/>
  <c r="O63" i="3" s="1"/>
  <c r="M25" i="3"/>
  <c r="O25" i="3" s="1"/>
  <c r="R52" i="3"/>
  <c r="M117" i="3"/>
  <c r="O117" i="3" s="1"/>
  <c r="M76" i="3"/>
  <c r="O76" i="3" s="1"/>
  <c r="M103" i="3"/>
  <c r="O103" i="3" s="1"/>
  <c r="N21" i="3"/>
  <c r="P21" i="3" s="1"/>
  <c r="M57" i="3"/>
  <c r="O57" i="3" s="1"/>
  <c r="N23" i="3"/>
  <c r="P23" i="3" s="1"/>
  <c r="N40" i="3"/>
  <c r="P40" i="3" s="1"/>
  <c r="N115" i="3"/>
  <c r="P115" i="3" s="1"/>
  <c r="N89" i="3"/>
  <c r="P89" i="3" s="1"/>
  <c r="M37" i="3"/>
  <c r="O37" i="3" s="1"/>
  <c r="M89" i="3"/>
  <c r="O89" i="3" s="1"/>
  <c r="N93" i="3"/>
  <c r="P93" i="3" s="1"/>
  <c r="N64" i="3"/>
  <c r="P64" i="3" s="1"/>
  <c r="M106" i="3"/>
  <c r="O106" i="3" s="1"/>
  <c r="N88" i="3"/>
  <c r="P88" i="3" s="1"/>
  <c r="M108" i="3"/>
  <c r="O108" i="3" s="1"/>
  <c r="L103" i="3"/>
  <c r="K103" i="3"/>
  <c r="L24" i="3"/>
  <c r="J24" i="3"/>
  <c r="M29" i="3"/>
  <c r="O29" i="3" s="1"/>
  <c r="M68" i="3"/>
  <c r="O68" i="3" s="1"/>
  <c r="M99" i="3"/>
  <c r="O99" i="3" s="1"/>
  <c r="N28" i="3"/>
  <c r="P28" i="3" s="1"/>
  <c r="N66" i="3"/>
  <c r="P66" i="3" s="1"/>
  <c r="N79" i="3"/>
  <c r="P79" i="3" s="1"/>
  <c r="R53" i="3"/>
  <c r="M23" i="3"/>
  <c r="O23" i="3" s="1"/>
  <c r="M46" i="3"/>
  <c r="O46" i="3" s="1"/>
  <c r="M54" i="3"/>
  <c r="O54" i="3" s="1"/>
  <c r="N41" i="3"/>
  <c r="P41" i="3" s="1"/>
  <c r="N104" i="3"/>
  <c r="P104" i="3" s="1"/>
  <c r="N74" i="3"/>
  <c r="P74" i="3" s="1"/>
  <c r="N106" i="3"/>
  <c r="P106" i="3" s="1"/>
  <c r="N48" i="3"/>
  <c r="P48" i="3" s="1"/>
  <c r="M22" i="3"/>
  <c r="O22" i="3" s="1"/>
  <c r="N45" i="3"/>
  <c r="P45" i="3" s="1"/>
  <c r="J62" i="3"/>
  <c r="N52" i="3"/>
  <c r="P52" i="3" s="1"/>
  <c r="M97" i="3"/>
  <c r="O97" i="3" s="1"/>
  <c r="M36" i="3"/>
  <c r="O36" i="3" s="1"/>
  <c r="M35" i="3"/>
  <c r="O35" i="3" s="1"/>
  <c r="N90" i="3"/>
  <c r="P90" i="3" s="1"/>
  <c r="M100" i="3"/>
  <c r="O100" i="3" s="1"/>
  <c r="M86" i="3"/>
  <c r="O86" i="3" s="1"/>
  <c r="J68" i="3"/>
  <c r="N30" i="3"/>
  <c r="P30" i="3" s="1"/>
  <c r="N34" i="3"/>
  <c r="P34" i="3" s="1"/>
  <c r="N101" i="3"/>
  <c r="P101" i="3" s="1"/>
  <c r="N19" i="3"/>
  <c r="P19" i="3" s="1"/>
  <c r="M101" i="3"/>
  <c r="O101" i="3" s="1"/>
  <c r="M47" i="3"/>
  <c r="O47" i="3" s="1"/>
  <c r="M33" i="3"/>
  <c r="O33" i="3" s="1"/>
  <c r="N67" i="3"/>
  <c r="P67" i="3" s="1"/>
  <c r="M61" i="3"/>
  <c r="O61" i="3" s="1"/>
  <c r="N80" i="3"/>
  <c r="P80" i="3" s="1"/>
  <c r="N42" i="3"/>
  <c r="P42" i="3" s="1"/>
  <c r="M110" i="3"/>
  <c r="O110" i="3" s="1"/>
  <c r="M48" i="3"/>
  <c r="O48" i="3" s="1"/>
  <c r="L62" i="3"/>
  <c r="M81" i="3"/>
  <c r="O81" i="3" s="1"/>
  <c r="M28" i="3"/>
  <c r="O28" i="3" s="1"/>
  <c r="L109" i="3"/>
  <c r="K109" i="3"/>
  <c r="N82" i="3"/>
  <c r="P82" i="3" s="1"/>
  <c r="M111" i="3"/>
  <c r="O111" i="3" s="1"/>
  <c r="M53" i="3"/>
  <c r="O53" i="3" s="1"/>
  <c r="N58" i="3"/>
  <c r="P58" i="3" s="1"/>
  <c r="M32" i="3"/>
  <c r="O32" i="3" s="1"/>
  <c r="M109" i="3"/>
  <c r="O109" i="3" s="1"/>
  <c r="M27" i="3"/>
  <c r="O27" i="3" s="1"/>
  <c r="N108" i="3"/>
  <c r="P108" i="3" s="1"/>
  <c r="N36" i="3"/>
  <c r="P36" i="3" s="1"/>
  <c r="N96" i="3"/>
  <c r="P96" i="3" s="1"/>
  <c r="N62" i="3"/>
  <c r="P62" i="3" s="1"/>
  <c r="M69" i="3"/>
  <c r="O69" i="3" s="1"/>
  <c r="N32" i="3"/>
  <c r="P32" i="3" s="1"/>
  <c r="M38" i="3"/>
  <c r="O38" i="3" s="1"/>
  <c r="N70" i="3"/>
  <c r="P70" i="3" s="1"/>
  <c r="K112" i="3"/>
  <c r="M70" i="3"/>
  <c r="O70" i="3" s="1"/>
  <c r="M91" i="3"/>
  <c r="O91" i="3" s="1"/>
  <c r="M18" i="3"/>
  <c r="O18" i="3" s="1"/>
  <c r="M116" i="3"/>
  <c r="O116" i="3" s="1"/>
  <c r="L51" i="3"/>
  <c r="J51" i="3"/>
  <c r="K51" i="3"/>
  <c r="N46" i="3"/>
  <c r="P46" i="3" s="1"/>
  <c r="N50" i="3"/>
  <c r="P50" i="3" s="1"/>
  <c r="N25" i="3"/>
  <c r="P25" i="3" s="1"/>
  <c r="L35" i="3"/>
  <c r="K35" i="3"/>
  <c r="J35" i="3"/>
  <c r="N92" i="3"/>
  <c r="P92" i="3" s="1"/>
  <c r="M102" i="3"/>
  <c r="O102" i="3" s="1"/>
  <c r="M40" i="3"/>
  <c r="O40" i="3" s="1"/>
  <c r="N47" i="3"/>
  <c r="P47" i="3" s="1"/>
  <c r="N57" i="3"/>
  <c r="P57" i="3" s="1"/>
  <c r="N43" i="3"/>
  <c r="P43" i="3" s="1"/>
  <c r="N71" i="3"/>
  <c r="P71" i="3" s="1"/>
  <c r="M83" i="3"/>
  <c r="O83" i="3" s="1"/>
  <c r="N91" i="3"/>
  <c r="P91" i="3" s="1"/>
  <c r="N69" i="3"/>
  <c r="P69" i="3" s="1"/>
  <c r="M62" i="3"/>
  <c r="O62" i="3" s="1"/>
  <c r="N44" i="3"/>
  <c r="P44" i="3" s="1"/>
  <c r="M80" i="3"/>
  <c r="O80" i="3" s="1"/>
  <c r="L55" i="3"/>
  <c r="M87" i="3"/>
  <c r="O87" i="3" s="1"/>
  <c r="K104" i="3"/>
  <c r="J22" i="3"/>
  <c r="M98" i="3"/>
  <c r="O98" i="3" s="1"/>
  <c r="M74" i="3"/>
  <c r="O74" i="3" s="1"/>
  <c r="M79" i="3"/>
  <c r="O79" i="3" s="1"/>
  <c r="N85" i="3"/>
  <c r="P85" i="3" s="1"/>
  <c r="N26" i="3"/>
  <c r="P26" i="3" s="1"/>
  <c r="N114" i="3"/>
  <c r="P114" i="3" s="1"/>
  <c r="N100" i="3"/>
  <c r="P100" i="3" s="1"/>
  <c r="J45" i="3"/>
  <c r="K117" i="3"/>
  <c r="L50" i="3"/>
  <c r="N31" i="3"/>
  <c r="P31" i="3" s="1"/>
  <c r="M104" i="3"/>
  <c r="O104" i="3" s="1"/>
  <c r="M113" i="3"/>
  <c r="O113" i="3" s="1"/>
  <c r="N86" i="3"/>
  <c r="P86" i="3" s="1"/>
  <c r="M67" i="3"/>
  <c r="O67" i="3" s="1"/>
  <c r="M112" i="3"/>
  <c r="O112" i="3" s="1"/>
  <c r="M75" i="3"/>
  <c r="O75" i="3" s="1"/>
  <c r="M19" i="3"/>
  <c r="O19" i="3" s="1"/>
  <c r="M78" i="3"/>
  <c r="O78" i="3" s="1"/>
  <c r="M24" i="3"/>
  <c r="O24" i="3" s="1"/>
  <c r="R56" i="3"/>
  <c r="N54" i="3"/>
  <c r="P54" i="3" s="1"/>
  <c r="M20" i="3"/>
  <c r="O20" i="3" s="1"/>
  <c r="M21" i="3"/>
  <c r="O21" i="3" s="1"/>
  <c r="L29" i="3"/>
  <c r="K29" i="3"/>
  <c r="N38" i="3"/>
  <c r="P38" i="3" s="1"/>
  <c r="M43" i="3"/>
  <c r="O43" i="3" s="1"/>
  <c r="M92" i="3"/>
  <c r="O92" i="3" s="1"/>
  <c r="N63" i="3"/>
  <c r="P63" i="3" s="1"/>
  <c r="N51" i="3"/>
  <c r="P51" i="3" s="1"/>
  <c r="M56" i="3"/>
  <c r="O56" i="3" s="1"/>
  <c r="N72" i="3"/>
  <c r="P72" i="3" s="1"/>
  <c r="R55" i="3"/>
  <c r="M59" i="3"/>
  <c r="O59" i="3" s="1"/>
  <c r="M31" i="3"/>
  <c r="O31" i="3" s="1"/>
  <c r="M65" i="3"/>
  <c r="O65" i="3" s="1"/>
  <c r="M30" i="3"/>
  <c r="O30" i="3" s="1"/>
  <c r="L68" i="3"/>
  <c r="N24" i="3"/>
  <c r="P24" i="3" s="1"/>
  <c r="L22" i="3"/>
  <c r="N112" i="3"/>
  <c r="P112" i="3" s="1"/>
  <c r="M93" i="3"/>
  <c r="O93" i="3" s="1"/>
  <c r="N77" i="3"/>
  <c r="P77" i="3" s="1"/>
  <c r="N95" i="3"/>
  <c r="P95" i="3" s="1"/>
  <c r="N49" i="3"/>
  <c r="P49" i="3" s="1"/>
  <c r="M26" i="3"/>
  <c r="O26" i="3" s="1"/>
  <c r="M58" i="3"/>
  <c r="O58" i="3" s="1"/>
  <c r="M34" i="3"/>
  <c r="O34" i="3" s="1"/>
  <c r="M105" i="3"/>
  <c r="O105" i="3" s="1"/>
  <c r="N102" i="3"/>
  <c r="P102" i="3" s="1"/>
  <c r="N99" i="3"/>
  <c r="P99" i="3" s="1"/>
  <c r="M49" i="3"/>
  <c r="O49" i="3" s="1"/>
  <c r="L49" i="3"/>
  <c r="N22" i="3"/>
  <c r="P22" i="3" s="1"/>
  <c r="M60" i="3"/>
  <c r="O60" i="3" s="1"/>
  <c r="M44" i="3"/>
  <c r="O44" i="3" s="1"/>
  <c r="M96" i="3"/>
  <c r="O96" i="3" s="1"/>
  <c r="J19" i="3"/>
  <c r="L31" i="3"/>
  <c r="J31" i="3"/>
  <c r="L57" i="3"/>
  <c r="K57" i="3"/>
  <c r="J57" i="3"/>
  <c r="J41" i="3"/>
  <c r="K41" i="3"/>
  <c r="E43" i="3" l="1"/>
  <c r="E44" i="3"/>
  <c r="E47" i="3"/>
  <c r="E45" i="3"/>
  <c r="E46" i="3"/>
</calcChain>
</file>

<file path=xl/sharedStrings.xml><?xml version="1.0" encoding="utf-8"?>
<sst xmlns="http://schemas.openxmlformats.org/spreadsheetml/2006/main" count="1297" uniqueCount="777">
  <si>
    <t>run_name</t>
  </si>
  <si>
    <t>grating_value[um]</t>
  </si>
  <si>
    <t>date_time</t>
  </si>
  <si>
    <t>SAW_freq[Hz]</t>
  </si>
  <si>
    <t>SAW_freq_error[Hz]</t>
  </si>
  <si>
    <t>A[Wm^-2]</t>
  </si>
  <si>
    <t>A_err[Wm^-2]</t>
  </si>
  <si>
    <t>alpha[m^2s^-1]</t>
  </si>
  <si>
    <t>alpha_err[m2s-1]</t>
  </si>
  <si>
    <t>beta[s^0.5]</t>
  </si>
  <si>
    <t>beta_err[s^0.5]</t>
  </si>
  <si>
    <t>B[Wm^-2]</t>
  </si>
  <si>
    <t>B_err[Wm^-2]</t>
  </si>
  <si>
    <t>theta</t>
  </si>
  <si>
    <t>theta_err</t>
  </si>
  <si>
    <t>tau[s]</t>
  </si>
  <si>
    <t>tau_err[s]</t>
  </si>
  <si>
    <t>C[Wm^-2]</t>
  </si>
  <si>
    <t>C_err[Wm^-2]</t>
  </si>
  <si>
    <t>/Users/aliciae/projects/shortlab/TGS-Processing-Scripts/MATLAB/pi3/2025-09-04/irradiation/V44_832864_470C-09-04-2025-03.40um-470C-Fe3p-5MeV-irradiation-POS-1.txt</t>
  </si>
  <si>
    <t>2025_09_04_17:47:16</t>
  </si>
  <si>
    <t>/Users/aliciae/projects/shortlab/TGS-Processing-Scripts/MATLAB/pi3/2025-09-04/irradiation/V44_832864_470C-09-04-2025-03.40um-470C-Fe3p-5MeV-irradiation-POS-2.txt</t>
  </si>
  <si>
    <t>2025_09_04_17:48:17</t>
  </si>
  <si>
    <t>/Users/aliciae/projects/shortlab/TGS-Processing-Scripts/MATLAB/pi3/2025-09-04/irradiation/V44_832864_470C-09-04-2025-03.40um-470C-Fe3p-5MeV-irradiation-POS-3.txt</t>
  </si>
  <si>
    <t>2025_09_04_17:49:17</t>
  </si>
  <si>
    <t>/Users/aliciae/projects/shortlab/TGS-Processing-Scripts/MATLAB/pi3/2025-09-04/irradiation/V44_832864_470C-09-04-2025-03.40um-470C-Fe3p-5MeV-irradiation-POS-4.txt</t>
  </si>
  <si>
    <t>2025_09_04_17:50:16</t>
  </si>
  <si>
    <t>/Users/aliciae/projects/shortlab/TGS-Processing-Scripts/MATLAB/pi3/2025-09-04/irradiation/V44_832864_470C-09-04-2025-03.40um-470C-Fe3p-5MeV-irradiation-POS-5.txt</t>
  </si>
  <si>
    <t>2025_09_04_17:51:17</t>
  </si>
  <si>
    <t>/Users/aliciae/projects/shortlab/TGS-Processing-Scripts/MATLAB/pi3/2025-09-04/irradiation/V44_832864_470C-09-04-2025-03.40um-470C-Fe3p-5MeV-irradiation-POS-6.txt</t>
  </si>
  <si>
    <t>2025_09_04_17:52:17</t>
  </si>
  <si>
    <t>/Users/aliciae/projects/shortlab/TGS-Processing-Scripts/MATLAB/pi3/2025-09-04/irradiation/V44_832864_470C-09-04-2025-03.40um-470C-Fe3p-5MeV-irradiation-POS-7.txt</t>
  </si>
  <si>
    <t>2025_09_04_17:53:17</t>
  </si>
  <si>
    <t>/Users/aliciae/projects/shortlab/TGS-Processing-Scripts/MATLAB/pi3/2025-09-04/irradiation/V44_832864_470C-09-04-2025-03.40um-470C-Fe3p-5MeV-irradiation-POS-8.txt</t>
  </si>
  <si>
    <t>2025_09_04_17:54:17</t>
  </si>
  <si>
    <t>/Users/aliciae/projects/shortlab/TGS-Processing-Scripts/MATLAB/pi3/2025-09-04/irradiation/V44_832864_470C-09-04-2025-03.40um-470C-Fe3p-5MeV-irradiation-POS-9.txt</t>
  </si>
  <si>
    <t>2025_09_04_17:55:17</t>
  </si>
  <si>
    <t>/Users/aliciae/projects/shortlab/TGS-Processing-Scripts/MATLAB/pi3/2025-09-04/irradiation/V44_832864_470C-09-04-2025-03.40um-470C-Fe3p-5MeV-irradiation-POS-10.txt</t>
  </si>
  <si>
    <t>2025_09_04_17:56:18</t>
  </si>
  <si>
    <t>/Users/aliciae/projects/shortlab/TGS-Processing-Scripts/MATLAB/pi3/2025-09-04/irradiation/V44_832864_470C-09-04-2025-03.40um-470C-Fe3p-5MeV-irradiation-POS-11.txt</t>
  </si>
  <si>
    <t>2025_09_04_17:57:17</t>
  </si>
  <si>
    <t>/Users/aliciae/projects/shortlab/TGS-Processing-Scripts/MATLAB/pi3/2025-09-04/irradiation/V44_832864_470C-09-04-2025-03.40um-470C-Fe3p-5MeV-irradiation-POS-12.txt</t>
  </si>
  <si>
    <t>2025_09_04_17:58:18</t>
  </si>
  <si>
    <t>/Users/aliciae/projects/shortlab/TGS-Processing-Scripts/MATLAB/pi3/2025-09-04/irradiation/V44_832864_470C-09-04-2025-03.40um-470C-Fe3p-5MeV-irradiation-POS-13.txt</t>
  </si>
  <si>
    <t>2025_09_04_17:59:18</t>
  </si>
  <si>
    <t>/Users/aliciae/projects/shortlab/TGS-Processing-Scripts/MATLAB/pi3/2025-09-04/irradiation/V44_832864_470C-09-04-2025-03.40um-470C-Fe3p-5MeV-irradiation-POS-14.txt</t>
  </si>
  <si>
    <t>2025_09_04_18:00:18</t>
  </si>
  <si>
    <t>/Users/aliciae/projects/shortlab/TGS-Processing-Scripts/MATLAB/pi3/2025-09-04/irradiation/V44_832864_470C-09-04-2025-03.40um-470C-Fe3p-5MeV-irradiation-POS-15.txt</t>
  </si>
  <si>
    <t>2025_09_04_18:01:18</t>
  </si>
  <si>
    <t>/Users/aliciae/projects/shortlab/TGS-Processing-Scripts/MATLAB/pi3/2025-09-04/irradiation/V44_832864_470C-09-04-2025-03.40um-470C-Fe3p-5MeV-irradiation-POS-16.txt</t>
  </si>
  <si>
    <t>2025_09_04_18:02:18</t>
  </si>
  <si>
    <t>/Users/aliciae/projects/shortlab/TGS-Processing-Scripts/MATLAB/pi3/2025-09-04/irradiation/V44_832864_470C-09-04-2025-03.40um-470C-Fe3p-5MeV-irradiation-POS-17.txt</t>
  </si>
  <si>
    <t>2025_09_04_18:03:19</t>
  </si>
  <si>
    <t>/Users/aliciae/projects/shortlab/TGS-Processing-Scripts/MATLAB/pi3/2025-09-04/irradiation/V44_832864_470C-09-04-2025-03.40um-470C-Fe3p-5MeV-irradiation-POS-18.txt</t>
  </si>
  <si>
    <t>2025_09_04_18:04:19</t>
  </si>
  <si>
    <t>/Users/aliciae/projects/shortlab/TGS-Processing-Scripts/MATLAB/pi3/2025-09-04/irradiation/V44_832864_470C-09-04-2025-03.40um-470C-Fe3p-5MeV-irradiation-POS-19.txt</t>
  </si>
  <si>
    <t>2025_09_04_18:05:19</t>
  </si>
  <si>
    <t>/Users/aliciae/projects/shortlab/TGS-Processing-Scripts/MATLAB/pi3/2025-09-04/irradiation/V44_832864_470C-09-04-2025-03.40um-470C-Fe3p-5MeV-irradiation-POS-20.txt</t>
  </si>
  <si>
    <t>2025_09_04_18:06:19</t>
  </si>
  <si>
    <t>/Users/aliciae/projects/shortlab/TGS-Processing-Scripts/MATLAB/pi3/2025-09-04/irradiation/V44_832864_470C-09-04-2025-03.40um-470C-Fe3p-5MeV-irradiation-POS-21.txt</t>
  </si>
  <si>
    <t>2025_09_04_18:07:20</t>
  </si>
  <si>
    <t>/Users/aliciae/projects/shortlab/TGS-Processing-Scripts/MATLAB/pi3/2025-09-04/irradiation/V44_832864_470C-09-04-2025-03.40um-470C-Fe3p-5MeV-irradiation-POS-22.txt</t>
  </si>
  <si>
    <t>2025_09_04_18:08:19</t>
  </si>
  <si>
    <t>/Users/aliciae/projects/shortlab/TGS-Processing-Scripts/MATLAB/pi3/2025-09-04/irradiation/V44_832864_470C-09-04-2025-03.40um-470C-Fe3p-5MeV-irradiation-POS-23.txt</t>
  </si>
  <si>
    <t>2025_09_04_18:09:19</t>
  </si>
  <si>
    <t>/Users/aliciae/projects/shortlab/TGS-Processing-Scripts/MATLAB/pi3/2025-09-04/irradiation/V44_832864_470C-09-04-2025-03.40um-470C-Fe3p-5MeV-irradiation-POS-24.txt</t>
  </si>
  <si>
    <t>2025_09_04_18:10:20</t>
  </si>
  <si>
    <t>/Users/aliciae/projects/shortlab/TGS-Processing-Scripts/MATLAB/pi3/2025-09-04/irradiation/V44_832864_470C-09-04-2025-03.40um-470C-Fe3p-5MeV-irradiation-POS-25.txt</t>
  </si>
  <si>
    <t>2025_09_04_18:11:20</t>
  </si>
  <si>
    <t>/Users/aliciae/projects/shortlab/TGS-Processing-Scripts/MATLAB/pi3/2025-09-04/irradiation/V44_832864_470C-09-04-2025-03.40um-470C-Fe3p-5MeV-irradiation-POS-26.txt</t>
  </si>
  <si>
    <t>2025_09_04_18:12:20</t>
  </si>
  <si>
    <t>/Users/aliciae/projects/shortlab/TGS-Processing-Scripts/MATLAB/pi3/2025-09-04/irradiation/V44_832864_470C-09-04-2025-03.40um-470C-Fe3p-5MeV-irradiation-POS-27.txt</t>
  </si>
  <si>
    <t>2025_09_04_18:13:20</t>
  </si>
  <si>
    <t>/Users/aliciae/projects/shortlab/TGS-Processing-Scripts/MATLAB/pi3/2025-09-04/irradiation/V44_832864_470C-09-04-2025-03.40um-470C-Fe3p-5MeV-irradiation-POS-28.txt</t>
  </si>
  <si>
    <t>2025_09_04_18:14:20</t>
  </si>
  <si>
    <t>/Users/aliciae/projects/shortlab/TGS-Processing-Scripts/MATLAB/pi3/2025-09-04/irradiation/V44_832864_470C-09-04-2025-03.40um-470C-Fe3p-5MeV-irradiation-POS-29.txt</t>
  </si>
  <si>
    <t>2025_09_04_18:15:20</t>
  </si>
  <si>
    <t>/Users/aliciae/projects/shortlab/TGS-Processing-Scripts/MATLAB/pi3/2025-09-04/irradiation/V44_832864_470C-09-04-2025-03.40um-470C-Fe3p-5MeV-irradiation-POS-30.txt</t>
  </si>
  <si>
    <t>2025_09_04_18:16:20</t>
  </si>
  <si>
    <t>/Users/aliciae/projects/shortlab/TGS-Processing-Scripts/MATLAB/pi3/2025-09-04/irradiation/V44_832864_470C-09-04-2025-03.40um-470C-Fe3p-5MeV-irradiation-POS-31.txt</t>
  </si>
  <si>
    <t>2025_09_04_18:17:20</t>
  </si>
  <si>
    <t>/Users/aliciae/projects/shortlab/TGS-Processing-Scripts/MATLAB/pi3/2025-09-04/irradiation/V44_832864_470C-09-04-2025-03.40um-470C-Fe3p-5MeV-irradiation-POS-32.txt</t>
  </si>
  <si>
    <t>2025_09_04_18:18:21</t>
  </si>
  <si>
    <t>/Users/aliciae/projects/shortlab/TGS-Processing-Scripts/MATLAB/pi3/2025-09-04/irradiation/V44_832864_470C-09-04-2025-03.40um-470C-Fe3p-5MeV-irradiation-POS-33.txt</t>
  </si>
  <si>
    <t>2025_09_04_18:19:21</t>
  </si>
  <si>
    <t>/Users/aliciae/projects/shortlab/TGS-Processing-Scripts/MATLAB/pi3/2025-09-04/irradiation/V44_832864_470C-09-04-2025-03.40um-470C-Fe3p-5MeV-irradiation-POS-34.txt</t>
  </si>
  <si>
    <t>2025_09_04_18:20:21</t>
  </si>
  <si>
    <t>/Users/aliciae/projects/shortlab/TGS-Processing-Scripts/MATLAB/pi3/2025-09-04/irradiation/V44_832864_470C-09-04-2025-03.40um-470C-Fe3p-5MeV-irradiation-POS-35.txt</t>
  </si>
  <si>
    <t>2025_09_04_18:21:21</t>
  </si>
  <si>
    <t>/Users/aliciae/projects/shortlab/TGS-Processing-Scripts/MATLAB/pi3/2025-09-04/irradiation/V44_832864_470C-09-04-2025-03.40um-470C-Fe3p-5MeV-irradiation-POS-36.txt</t>
  </si>
  <si>
    <t>2025_09_04_18:22:22</t>
  </si>
  <si>
    <t>/Users/aliciae/projects/shortlab/TGS-Processing-Scripts/MATLAB/pi3/2025-09-04/irradiation/V44_832864_470C-09-04-2025-03.40um-470C-Fe3p-5MeV-irradiation-POS-37.txt</t>
  </si>
  <si>
    <t>2025_09_04_18:23:22</t>
  </si>
  <si>
    <t>/Users/aliciae/projects/shortlab/TGS-Processing-Scripts/MATLAB/pi3/2025-09-04/irradiation/V44_832864_470C-09-04-2025-03.40um-470C-Fe3p-5MeV-irradiation-POS-38.txt</t>
  </si>
  <si>
    <t>2025_09_04_18:24:22</t>
  </si>
  <si>
    <t>/Users/aliciae/projects/shortlab/TGS-Processing-Scripts/MATLAB/pi3/2025-09-04/irradiation/V44_832864_470C-09-04-2025-03.40um-470C-Fe3p-5MeV-irradiation-POS-39.txt</t>
  </si>
  <si>
    <t>2025_09_04_18:25:23</t>
  </si>
  <si>
    <t>/Users/aliciae/projects/shortlab/TGS-Processing-Scripts/MATLAB/pi3/2025-09-04/irradiation/V44_832864_470C-09-04-2025-03.40um-470C-Fe3p-5MeV-irradiation-POS-40.txt</t>
  </si>
  <si>
    <t>2025_09_04_18:26:23</t>
  </si>
  <si>
    <t>/Users/aliciae/projects/shortlab/TGS-Processing-Scripts/MATLAB/pi3/2025-09-04/irradiation/V44_832864_470C-09-04-2025-03.40um-470C-Fe3p-5MeV-irradiation-POS-41.txt</t>
  </si>
  <si>
    <t>2025_09_04_18:27:22</t>
  </si>
  <si>
    <t>/Users/aliciae/projects/shortlab/TGS-Processing-Scripts/MATLAB/pi3/2025-09-04/irradiation/V44_832864_470C-09-04-2025-03.40um-470C-Fe3p-5MeV-irradiation-POS-42.txt</t>
  </si>
  <si>
    <t>2025_09_04_18:28:22</t>
  </si>
  <si>
    <t>/Users/aliciae/projects/shortlab/TGS-Processing-Scripts/MATLAB/pi3/2025-09-04/irradiation/V44_832864_470C-09-04-2025-03.40um-470C-Fe3p-5MeV-irradiation-POS-43.txt</t>
  </si>
  <si>
    <t>2025_09_04_18:29:22</t>
  </si>
  <si>
    <t>/Users/aliciae/projects/shortlab/TGS-Processing-Scripts/MATLAB/pi3/2025-09-04/irradiation/V44_832864_470C-09-04-2025-03.40um-470C-Fe3p-5MeV-irradiation-POS-44.txt</t>
  </si>
  <si>
    <t>2025_09_04_18:30:23</t>
  </si>
  <si>
    <t>/Users/aliciae/projects/shortlab/TGS-Processing-Scripts/MATLAB/pi3/2025-09-04/irradiation/V44_832864_470C-09-04-2025-03.40um-470C-Fe3p-5MeV-irradiation-POS-45.txt</t>
  </si>
  <si>
    <t>2025_09_04_18:31:23</t>
  </si>
  <si>
    <t>/Users/aliciae/projects/shortlab/TGS-Processing-Scripts/MATLAB/pi3/2025-09-04/irradiation/V44_832864_470C-09-04-2025-03.40um-470C-Fe3p-5MeV-irradiation-POS-46.txt</t>
  </si>
  <si>
    <t>2025_09_04_18:32:23</t>
  </si>
  <si>
    <t>/Users/aliciae/projects/shortlab/TGS-Processing-Scripts/MATLAB/pi3/2025-09-04/irradiation/V44_832864_470C-09-04-2025-03.40um-470C-Fe3p-5MeV-irradiation-POS-47.txt</t>
  </si>
  <si>
    <t>2025_09_04_18:33:24</t>
  </si>
  <si>
    <t>/Users/aliciae/projects/shortlab/TGS-Processing-Scripts/MATLAB/pi3/2025-09-04/irradiation/V44_832864_470C-09-04-2025-03.40um-470C-Fe3p-5MeV-irradiation-POS-48.txt</t>
  </si>
  <si>
    <t>2025_09_04_18:34:24</t>
  </si>
  <si>
    <t>/Users/aliciae/projects/shortlab/TGS-Processing-Scripts/MATLAB/pi3/2025-09-04/irradiation/V44_832864_470C-09-04-2025-03.40um-470C-Fe3p-5MeV-irradiation-POS-49.txt</t>
  </si>
  <si>
    <t>2025_09_04_18:35:24</t>
  </si>
  <si>
    <t>/Users/aliciae/projects/shortlab/TGS-Processing-Scripts/MATLAB/pi3/2025-09-04/irradiation/V44_832864_470C-09-04-2025-03.40um-470C-Fe3p-5MeV-irradiation-POS-50.txt</t>
  </si>
  <si>
    <t>2025_09_04_18:36:24</t>
  </si>
  <si>
    <t>/Users/aliciae/projects/shortlab/TGS-Processing-Scripts/MATLAB/pi3/2025-09-04/irradiation/V44_832864_470C-09-04-2025-03.40um-470C-Fe3p-5MeV-irradiation-POS-51.txt</t>
  </si>
  <si>
    <t>2025_09_04_18:37:24</t>
  </si>
  <si>
    <t>/Users/aliciae/projects/shortlab/TGS-Processing-Scripts/MATLAB/pi3/2025-09-04/irradiation/V44_832864_470C-09-04-2025-03.40um-470C-Fe3p-5MeV-irradiation-POS-52.txt</t>
  </si>
  <si>
    <t>2025_09_04_18:38:24</t>
  </si>
  <si>
    <t>/Users/aliciae/projects/shortlab/TGS-Processing-Scripts/MATLAB/pi3/2025-09-04/irradiation/V44_832864_470C-09-04-2025-03.40um-470C-Fe3p-5MeV-irradiation-POS-53.txt</t>
  </si>
  <si>
    <t>2025_09_04_18:39:24</t>
  </si>
  <si>
    <t>/Users/aliciae/projects/shortlab/TGS-Processing-Scripts/MATLAB/pi3/2025-09-04/irradiation/V44_832864_470C-09-04-2025-03.40um-470C-Fe3p-5MeV-irradiation-POS-54.txt</t>
  </si>
  <si>
    <t>2025_09_04_18:40:25</t>
  </si>
  <si>
    <t>/Users/aliciae/projects/shortlab/TGS-Processing-Scripts/MATLAB/pi3/2025-09-04/irradiation/V44_832864_470C-09-04-2025-03.40um-470C-Fe3p-5MeV-irradiation-POS-55.txt</t>
  </si>
  <si>
    <t>2025_09_04_18:41:25</t>
  </si>
  <si>
    <t>/Users/aliciae/projects/shortlab/TGS-Processing-Scripts/MATLAB/pi3/2025-09-04/irradiation/V44_832864_470C-09-04-2025-03.40um-470C-Fe3p-5MeV-irradiation-POS-56.txt</t>
  </si>
  <si>
    <t>2025_09_04_18:42:25</t>
  </si>
  <si>
    <t>/Users/aliciae/projects/shortlab/TGS-Processing-Scripts/MATLAB/pi3/2025-09-04/irradiation/V44_832864_470C-09-04-2025-03.40um-470C-Fe3p-5MeV-irradiation-POS-57.txt</t>
  </si>
  <si>
    <t>2025_09_04_18:43:25</t>
  </si>
  <si>
    <t>/Users/aliciae/projects/shortlab/TGS-Processing-Scripts/MATLAB/pi3/2025-09-04/irradiation/V44_832864_470C-09-04-2025-03.40um-470C-Fe3p-5MeV-irradiation-POS-58.txt</t>
  </si>
  <si>
    <t>2025_09_04_18:44:25</t>
  </si>
  <si>
    <t>/Users/aliciae/projects/shortlab/TGS-Processing-Scripts/MATLAB/pi3/2025-09-04/irradiation/V44_832864_470C-09-04-2025-03.40um-470C-Fe3p-5MeV-irradiation-POS-59.txt</t>
  </si>
  <si>
    <t>2025_09_04_18:45:25</t>
  </si>
  <si>
    <t>/Users/aliciae/projects/shortlab/TGS-Processing-Scripts/MATLAB/pi3/2025-09-04/irradiation/V44_832864_470C-09-04-2025-03.40um-470C-Fe3p-5MeV-irradiation-POS-60.txt</t>
  </si>
  <si>
    <t>2025_09_04_18:46:25</t>
  </si>
  <si>
    <t>/Users/aliciae/projects/shortlab/TGS-Processing-Scripts/MATLAB/pi3/2025-09-04/irradiation/V44_832864_470C-09-04-2025-03.40um-470C-Fe3p-5MeV-irradiation-POS-61.txt</t>
  </si>
  <si>
    <t>2025_09_04_18:47:25</t>
  </si>
  <si>
    <t>/Users/aliciae/projects/shortlab/TGS-Processing-Scripts/MATLAB/pi3/2025-09-04/irradiation/V44_832864_470C-09-04-2025-03.40um-470C-Fe3p-5MeV-irradiation-POS-62.txt</t>
  </si>
  <si>
    <t>2025_09_04_18:48:25</t>
  </si>
  <si>
    <t>/Users/aliciae/projects/shortlab/TGS-Processing-Scripts/MATLAB/pi3/2025-09-04/irradiation/V44_832864_470C-09-04-2025-03.40um-470C-Fe3p-5MeV-irradiation-POS-63.txt</t>
  </si>
  <si>
    <t>2025_09_04_18:49:26</t>
  </si>
  <si>
    <t>/Users/aliciae/projects/shortlab/TGS-Processing-Scripts/MATLAB/pi3/2025-09-04/irradiation/V44_832864_470C-09-04-2025-03.40um-470C-Fe3p-5MeV-irradiation-POS-64.txt</t>
  </si>
  <si>
    <t>2025_09_04_18:50:26</t>
  </si>
  <si>
    <t>/Users/aliciae/projects/shortlab/TGS-Processing-Scripts/MATLAB/pi3/2025-09-04/irradiation/V44_832864_470C-09-04-2025-03.40um-470C-Fe3p-5MeV-irradiation-POS-65.txt</t>
  </si>
  <si>
    <t>2025_09_04_18:51:26</t>
  </si>
  <si>
    <t>/Users/aliciae/projects/shortlab/TGS-Processing-Scripts/MATLAB/pi3/2025-09-04/irradiation/V44_832864_470C-09-04-2025-03.40um-470C-Fe3p-5MeV-irradiation-POS-66.txt</t>
  </si>
  <si>
    <t>2025_09_04_18:52:27</t>
  </si>
  <si>
    <t>/Users/aliciae/projects/shortlab/TGS-Processing-Scripts/MATLAB/pi3/2025-09-04/irradiation/V44_832864_470C-09-04-2025-03.40um-470C-Fe3p-5MeV-irradiation-POS-67.txt</t>
  </si>
  <si>
    <t>2025_09_04_18:53:27</t>
  </si>
  <si>
    <t>/Users/aliciae/projects/shortlab/TGS-Processing-Scripts/MATLAB/pi3/2025-09-04/irradiation/V44_832864_470C-09-04-2025-03.40um-470C-Fe3p-5MeV-irradiation-POS-68.txt</t>
  </si>
  <si>
    <t>2025_09_04_18:54:27</t>
  </si>
  <si>
    <t>/Users/aliciae/projects/shortlab/TGS-Processing-Scripts/MATLAB/pi3/2025-09-04/irradiation/V44_832864_470C-09-04-2025-03.40um-470C-Fe3p-5MeV-irradiation-POS-69.txt</t>
  </si>
  <si>
    <t>2025_09_04_18:55:27</t>
  </si>
  <si>
    <t>/Users/aliciae/projects/shortlab/TGS-Processing-Scripts/MATLAB/pi3/2025-09-04/irradiation/V44_832864_470C-09-04-2025-03.40um-470C-Fe3p-5MeV-irradiation-POS-70.txt</t>
  </si>
  <si>
    <t>2025_09_04_18:56:27</t>
  </si>
  <si>
    <t>/Users/aliciae/projects/shortlab/TGS-Processing-Scripts/MATLAB/pi3/2025-09-04/irradiation/V44_832864_470C-09-04-2025-03.40um-470C-Fe3p-5MeV-irradiation-POS-71.txt</t>
  </si>
  <si>
    <t>2025_09_04_18:57:27</t>
  </si>
  <si>
    <t>/Users/aliciae/projects/shortlab/TGS-Processing-Scripts/MATLAB/pi3/2025-09-04/irradiation/V44_832864_470C-09-04-2025-03.40um-470C-Fe3p-5MeV-irradiation-POS-72.txt</t>
  </si>
  <si>
    <t>2025_09_04_18:58:27</t>
  </si>
  <si>
    <t>/Users/aliciae/projects/shortlab/TGS-Processing-Scripts/MATLAB/pi3/2025-09-04/irradiation/V44_832864_470C-09-04-2025-03.40um-470C-Fe3p-5MeV-irradiation-POS-73.txt</t>
  </si>
  <si>
    <t>2025_09_04_18:59:27</t>
  </si>
  <si>
    <t>/Users/aliciae/projects/shortlab/TGS-Processing-Scripts/MATLAB/pi3/2025-09-04/irradiation/V44_832864_470C-09-04-2025-03.40um-470C-Fe3p-5MeV-irradiation-POS-74.txt</t>
  </si>
  <si>
    <t>2025_09_04_19:00:27</t>
  </si>
  <si>
    <t>/Users/aliciae/projects/shortlab/TGS-Processing-Scripts/MATLAB/pi3/2025-09-04/irradiation/V44_832864_470C-09-04-2025-03.40um-470C-Fe3p-5MeV-irradiation-POS-75.txt</t>
  </si>
  <si>
    <t>2025_09_04_19:01:28</t>
  </si>
  <si>
    <t>/Users/aliciae/projects/shortlab/TGS-Processing-Scripts/MATLAB/pi3/2025-09-04/irradiation/V44_832864_470C-09-04-2025-03.40um-470C-Fe3p-5MeV-irradiation-POS-76.txt</t>
  </si>
  <si>
    <t>2025_09_04_19:02:28</t>
  </si>
  <si>
    <t>/Users/aliciae/projects/shortlab/TGS-Processing-Scripts/MATLAB/pi3/2025-09-04/irradiation/V44_832864_470C-09-04-2025-03.40um-470C-Fe3p-5MeV-irradiation-POS-77.txt</t>
  </si>
  <si>
    <t>2025_09_04_19:03:28</t>
  </si>
  <si>
    <t>/Users/aliciae/projects/shortlab/TGS-Processing-Scripts/MATLAB/pi3/2025-09-04/irradiation/V44_832864_470C-09-04-2025-03.40um-470C-Fe3p-5MeV-irradiation-POS-78.txt</t>
  </si>
  <si>
    <t>2025_09_04_19:04:28</t>
  </si>
  <si>
    <t>/Users/aliciae/projects/shortlab/TGS-Processing-Scripts/MATLAB/pi3/2025-09-04/irradiation/V44_832864_470C-09-04-2025-03.40um-470C-Fe3p-5MeV-irradiation-POS-79.txt</t>
  </si>
  <si>
    <t>2025_09_04_19:05:29</t>
  </si>
  <si>
    <t>/Users/aliciae/projects/shortlab/TGS-Processing-Scripts/MATLAB/pi3/2025-09-04/irradiation/V44_832864_470C-09-04-2025-03.40um-470C-Fe3p-5MeV-irradiation-POS-80.txt</t>
  </si>
  <si>
    <t>2025_09_04_19:06:28</t>
  </si>
  <si>
    <t>/Users/aliciae/projects/shortlab/TGS-Processing-Scripts/MATLAB/pi3/2025-09-04/irradiation/V44_832864_470C-09-04-2025-03.40um-470C-Fe3p-5MeV-irradiation-POS-81.txt</t>
  </si>
  <si>
    <t>2025_09_04_19:07:29</t>
  </si>
  <si>
    <t>/Users/aliciae/projects/shortlab/TGS-Processing-Scripts/MATLAB/pi3/2025-09-04/irradiation/V44_832864_470C-09-04-2025-03.40um-470C-Fe3p-5MeV-irradiation-POS-82.txt</t>
  </si>
  <si>
    <t>2025_09_04_19:08:29</t>
  </si>
  <si>
    <t>/Users/aliciae/projects/shortlab/TGS-Processing-Scripts/MATLAB/pi3/2025-09-04/irradiation/V44_832864_470C-09-04-2025-03.40um-470C-Fe3p-5MeV-irradiation-POS-83.txt</t>
  </si>
  <si>
    <t>2025_09_04_19:09:29</t>
  </si>
  <si>
    <t>/Users/aliciae/projects/shortlab/TGS-Processing-Scripts/MATLAB/pi3/2025-09-04/irradiation/V44_832864_470C-09-04-2025-03.40um-470C-Fe3p-5MeV-irradiation-POS-84.txt</t>
  </si>
  <si>
    <t>2025_09_04_19:10:30</t>
  </si>
  <si>
    <t>NaN</t>
  </si>
  <si>
    <t>/Users/aliciae/projects/shortlab/TGS-Processing-Scripts/MATLAB/pi3/2025-09-04/irradiation/V44_832864_470C-09-04-2025-03.40um-470C-Fe3p-5MeV-irradiation-POS-85.txt</t>
  </si>
  <si>
    <t>2025_09_04_19:11:29</t>
  </si>
  <si>
    <t>/Users/aliciae/projects/shortlab/TGS-Processing-Scripts/MATLAB/pi3/2025-09-04/irradiation/V44_832864_470C-09-04-2025-03.40um-470C-Fe3p-5MeV-irradiation-POS-86.txt</t>
  </si>
  <si>
    <t>2025_09_04_19:12:30</t>
  </si>
  <si>
    <t>/Users/aliciae/projects/shortlab/TGS-Processing-Scripts/MATLAB/pi3/2025-09-04/irradiation/V44_832864_470C-09-04-2025-03.40um-470C-Fe3p-5MeV-irradiation-POS-87.txt</t>
  </si>
  <si>
    <t>2025_09_04_19:13:29</t>
  </si>
  <si>
    <t>/Users/aliciae/projects/shortlab/TGS-Processing-Scripts/MATLAB/pi3/2025-09-04/irradiation/V44_832864_470C-09-04-2025-03.40um-470C-Fe3p-5MeV-irradiation-POS-88.txt</t>
  </si>
  <si>
    <t>2025_09_04_19:14:29</t>
  </si>
  <si>
    <t>/Users/aliciae/projects/shortlab/TGS-Processing-Scripts/MATLAB/pi3/2025-09-04/irradiation/V44_832864_470C-09-04-2025-03.40um-470C-Fe3p-5MeV-irradiation-POS-89.txt</t>
  </si>
  <si>
    <t>2025_09_04_19:15:30</t>
  </si>
  <si>
    <t>/Users/aliciae/projects/shortlab/TGS-Processing-Scripts/MATLAB/pi3/2025-09-04/irradiation/V44_832864_470C-09-04-2025-03.40um-470C-Fe3p-5MeV-irradiation-POS-90.txt</t>
  </si>
  <si>
    <t>2025_09_04_19:16:30</t>
  </si>
  <si>
    <t>/Users/aliciae/projects/shortlab/TGS-Processing-Scripts/MATLAB/pi3/2025-09-04/irradiation/V44_832864_470C-09-04-2025-03.40um-470C-Fe3p-5MeV-irradiation-POS-91.txt</t>
  </si>
  <si>
    <t>2025_09_04_19:17:30</t>
  </si>
  <si>
    <t>/Users/aliciae/projects/shortlab/TGS-Processing-Scripts/MATLAB/pi3/2025-09-04/irradiation/V44_832864_470C-09-04-2025-03.40um-470C-Fe3p-5MeV-irradiation-POS-92.txt</t>
  </si>
  <si>
    <t>2025_09_04_19:18:30</t>
  </si>
  <si>
    <t>/Users/aliciae/projects/shortlab/TGS-Processing-Scripts/MATLAB/pi3/2025-09-04/irradiation/V44_832864_470C-09-04-2025-03.40um-470C-Fe3p-5MeV-irradiation-POS-93.txt</t>
  </si>
  <si>
    <t>2025_09_04_19:19:30</t>
  </si>
  <si>
    <t>/Users/aliciae/projects/shortlab/TGS-Processing-Scripts/MATLAB/pi3/2025-09-04/irradiation/V44_832864_470C-09-04-2025-03.40um-470C-Fe3p-5MeV-irradiation-POS-94.txt</t>
  </si>
  <si>
    <t>2025_09_04_19:20:30</t>
  </si>
  <si>
    <t>/Users/aliciae/projects/shortlab/TGS-Processing-Scripts/MATLAB/pi3/2025-09-04/irradiation/V44_832864_470C-09-04-2025-03.40um-470C-Fe3p-5MeV-irradiation-POS-95.txt</t>
  </si>
  <si>
    <t>2025_09_04_19:21:31</t>
  </si>
  <si>
    <t>/Users/aliciae/projects/shortlab/TGS-Processing-Scripts/MATLAB/pi3/2025-09-04/irradiation/V44_832864_470C-09-04-2025-03.40um-470C-Fe3p-5MeV-irradiation-POS-96.txt</t>
  </si>
  <si>
    <t>2025_09_04_19:22:30</t>
  </si>
  <si>
    <t>/Users/aliciae/projects/shortlab/TGS-Processing-Scripts/MATLAB/pi3/2025-09-04/irradiation/V44_832864_470C-09-04-2025-03.40um-470C-Fe3p-5MeV-irradiation-POS-97.txt</t>
  </si>
  <si>
    <t>2025_09_04_19:23:31</t>
  </si>
  <si>
    <t>/Users/aliciae/projects/shortlab/TGS-Processing-Scripts/MATLAB/pi3/2025-09-04/irradiation/V44_832864_470C-09-04-2025-03.40um-470C-Fe3p-5MeV-irradiation-POS-98.txt</t>
  </si>
  <si>
    <t>2025_09_04_19:24:31</t>
  </si>
  <si>
    <t>/Users/aliciae/projects/shortlab/TGS-Processing-Scripts/MATLAB/pi3/2025-09-04/irradiation/V44_832864_470C-09-04-2025-03.40um-470C-Fe3p-5MeV-irradiation-POS-99.txt</t>
  </si>
  <si>
    <t>2025_09_04_19:25:31</t>
  </si>
  <si>
    <t>/Users/aliciae/projects/shortlab/TGS-Processing-Scripts/MATLAB/pi3/2025-09-04/irradiation/V44_832864_470C-09-04-2025-03.40um-470C-Fe3p-5MeV-irradiation-POS-100.txt</t>
  </si>
  <si>
    <t>2025_09_04_19:26:32</t>
  </si>
  <si>
    <t>/Users/aliciae/projects/shortlab/TGS-Processing-Scripts/MATLAB/pi3/2025-09-04/irradiation/V44_832864_470C-09-04-2025-03.40um-470C-Fe3p-5MeV-irradiation-POS-101.txt</t>
  </si>
  <si>
    <t>2025_09_04_19:27:31</t>
  </si>
  <si>
    <t>/Users/aliciae/projects/shortlab/TGS-Processing-Scripts/MATLAB/pi3/2025-09-04/irradiation/V44_832864_470C-09-04-2025-03.40um-470C-Fe3p-5MeV-irradiation-POS-102.txt</t>
  </si>
  <si>
    <t>2025_09_04_19:28:32</t>
  </si>
  <si>
    <t>/Users/aliciae/projects/shortlab/TGS-Processing-Scripts/MATLAB/pi3/2025-09-04/irradiation/V44_832864_470C-09-04-2025-03.40um-470C-Fe3p-5MeV-irradiation-POS-103.txt</t>
  </si>
  <si>
    <t>2025_09_04_19:29:32</t>
  </si>
  <si>
    <t>/Users/aliciae/projects/shortlab/TGS-Processing-Scripts/MATLAB/pi3/2025-09-04/irradiation/V44_832864_470C-09-04-2025-03.40um-470C-Fe3p-5MeV-irradiation-POS-104.txt</t>
  </si>
  <si>
    <t>2025_09_04_19:30:32</t>
  </si>
  <si>
    <t>/Users/aliciae/projects/shortlab/TGS-Processing-Scripts/MATLAB/pi3/2025-09-04/irradiation/V44_832864_470C-09-04-2025-03.40um-470C-Fe3p-5MeV-irradiation-POS-105.txt</t>
  </si>
  <si>
    <t>2025_09_04_19:31:32</t>
  </si>
  <si>
    <t>/Users/aliciae/projects/shortlab/TGS-Processing-Scripts/MATLAB/pi3/2025-09-04/irradiation/V44_832864_470C-09-04-2025-03.40um-470C-Fe3p-5MeV-irradiation-POS-106.txt</t>
  </si>
  <si>
    <t>2025_09_04_19:32:32</t>
  </si>
  <si>
    <t>/Users/aliciae/projects/shortlab/TGS-Processing-Scripts/MATLAB/pi3/2025-09-04/irradiation/V44_832864_470C-09-04-2025-03.40um-470C-Fe3p-5MeV-irradiation-POS-107.txt</t>
  </si>
  <si>
    <t>2025_09_04_19:33:32</t>
  </si>
  <si>
    <t>/Users/aliciae/projects/shortlab/TGS-Processing-Scripts/MATLAB/pi3/2025-09-04/irradiation/V44_832864_470C-09-04-2025-03.40um-470C-Fe3p-5MeV-irradiation-POS-108.txt</t>
  </si>
  <si>
    <t>2025_09_04_19:34:32</t>
  </si>
  <si>
    <t>/Users/aliciae/projects/shortlab/TGS-Processing-Scripts/MATLAB/pi3/2025-09-04/irradiation/V44_832864_470C-09-04-2025-03.40um-470C-Fe3p-5MeV-irradiation-POS-109.txt</t>
  </si>
  <si>
    <t>2025_09_04_19:35:32</t>
  </si>
  <si>
    <t>/Users/aliciae/projects/shortlab/TGS-Processing-Scripts/MATLAB/pi3/2025-09-04/irradiation/V44_832864_470C-09-04-2025-03.40um-470C-Fe3p-5MeV-irradiation-POS-110.txt</t>
  </si>
  <si>
    <t>2025_09_04_19:36:33</t>
  </si>
  <si>
    <t>/Users/aliciae/projects/shortlab/TGS-Processing-Scripts/MATLAB/pi3/2025-09-04/irradiation/V44_832864_470C-09-04-2025-03.40um-470C-Fe3p-5MeV-irradiation-POS-111.txt</t>
  </si>
  <si>
    <t>2025_09_04_19:37:33</t>
  </si>
  <si>
    <t>/Users/aliciae/projects/shortlab/TGS-Processing-Scripts/MATLAB/pi3/2025-09-04/irradiation/V44_832864_470C-09-04-2025-03.40um-470C-Fe3p-5MeV-irradiation-POS-112.txt</t>
  </si>
  <si>
    <t>2025_09_04_19:38:33</t>
  </si>
  <si>
    <t>/Users/aliciae/projects/shortlab/TGS-Processing-Scripts/MATLAB/pi3/2025-09-04/irradiation/V44_832864_470C-09-04-2025-03.40um-470C-Fe3p-5MeV-irradiation-POS-113.txt</t>
  </si>
  <si>
    <t>2025_09_04_19:39:33</t>
  </si>
  <si>
    <t>/Users/aliciae/projects/shortlab/TGS-Processing-Scripts/MATLAB/pi3/2025-09-04/irradiation/V44_832864_470C-09-04-2025-03.40um-470C-Fe3p-5MeV-irradiation-POS-114.txt</t>
  </si>
  <si>
    <t>2025_09_04_19:40:34</t>
  </si>
  <si>
    <t>/Users/aliciae/projects/shortlab/TGS-Processing-Scripts/MATLAB/pi3/2025-09-04/irradiation/V44_832864_470C-09-04-2025-03.40um-470C-Fe3p-5MeV-irradiation-POS-115.txt</t>
  </si>
  <si>
    <t>2025_09_04_19:41:34</t>
  </si>
  <si>
    <t>/Users/aliciae/projects/shortlab/TGS-Processing-Scripts/MATLAB/pi3/2025-09-04/irradiation/V44_832864_470C-09-04-2025-03.40um-470C-Fe3p-5MeV-irradiation-POS-116.txt</t>
  </si>
  <si>
    <t>2025_09_04_19:42:34</t>
  </si>
  <si>
    <t>/Users/aliciae/projects/shortlab/TGS-Processing-Scripts/MATLAB/pi3/2025-09-04/irradiation/V44_832864_470C-09-04-2025-03.40um-470C-Fe3p-5MeV-irradiation-POS-117.txt</t>
  </si>
  <si>
    <t>2025_09_04_19:43:34</t>
  </si>
  <si>
    <t>/Users/aliciae/projects/shortlab/TGS-Processing-Scripts/MATLAB/pi3/2025-09-04/irradiation/V44_832864_470C-09-04-2025-03.40um-470C-Fe3p-5MeV-irradiation-POS-118.txt</t>
  </si>
  <si>
    <t>2025_09_04_19:44:34</t>
  </si>
  <si>
    <t>/Users/aliciae/projects/shortlab/TGS-Processing-Scripts/MATLAB/pi3/2025-09-04/irradiation/V44_832864_470C-09-04-2025-03.40um-470C-Fe3p-5MeV-irradiation-POS-119.txt</t>
  </si>
  <si>
    <t>2025_09_04_19:45:34</t>
  </si>
  <si>
    <t>/Users/aliciae/projects/shortlab/TGS-Processing-Scripts/MATLAB/pi3/2025-09-04/irradiation/V44_832864_470C-09-04-2025-03.40um-470C-Fe3p-5MeV-irradiation-POS-120.txt</t>
  </si>
  <si>
    <t>2025_09_04_19:46:34</t>
  </si>
  <si>
    <t>/Users/aliciae/projects/shortlab/TGS-Processing-Scripts/MATLAB/pi3/2025-09-04/irradiation/V44_832864_470C-09-04-2025-03.40um-470C-Fe3p-5MeV-irradiation-POS-121.txt</t>
  </si>
  <si>
    <t>2025_09_04_19:47:35</t>
  </si>
  <si>
    <t>/Users/aliciae/projects/shortlab/TGS-Processing-Scripts/MATLAB/pi3/2025-09-04/irradiation/V44_832864_470C-09-04-2025-03.40um-470C-Fe3p-5MeV-irradiation-POS-122.txt</t>
  </si>
  <si>
    <t>2025_09_04_19:48:34</t>
  </si>
  <si>
    <t>/Users/aliciae/projects/shortlab/TGS-Processing-Scripts/MATLAB/pi3/2025-09-04/irradiation/V44_832864_470C-09-04-2025-03.40um-470C-Fe3p-5MeV-irradiation-POS-123.txt</t>
  </si>
  <si>
    <t>2025_09_04_19:49:35</t>
  </si>
  <si>
    <t>/Users/aliciae/projects/shortlab/TGS-Processing-Scripts/MATLAB/pi3/2025-09-04/irradiation/V44_832864_470C-09-04-2025-03.40um-470C-Fe3p-5MeV-irradiation-POS-124.txt</t>
  </si>
  <si>
    <t>2025_09_04_19:50:35</t>
  </si>
  <si>
    <t>/Users/aliciae/projects/shortlab/TGS-Processing-Scripts/MATLAB/pi3/2025-09-04/irradiation/V44_832864_470C-09-04-2025-03.40um-470C-Fe3p-5MeV-irradiation-POS-125.txt</t>
  </si>
  <si>
    <t>2025_09_04_19:51:35</t>
  </si>
  <si>
    <t>/Users/aliciae/projects/shortlab/TGS-Processing-Scripts/MATLAB/pi3/2025-09-04/irradiation/V44_832864_470C-09-04-2025-03.40um-470C-Fe3p-5MeV-irradiation-POS-126.txt</t>
  </si>
  <si>
    <t>2025_09_04_19:52:35</t>
  </si>
  <si>
    <t>/Users/aliciae/projects/shortlab/TGS-Processing-Scripts/MATLAB/pi3/2025-09-04/irradiation/V44_832864_470C-09-04-2025-03.40um-470C-Fe3p-5MeV-irradiation-POS-127.txt</t>
  </si>
  <si>
    <t>2025_09_04_19:53:35</t>
  </si>
  <si>
    <t>/Users/aliciae/projects/shortlab/TGS-Processing-Scripts/MATLAB/pi3/2025-09-04/irradiation/V44_832864_470C-09-04-2025-03.40um-470C-Fe3p-5MeV-irradiation-POS-128.txt</t>
  </si>
  <si>
    <t>2025_09_04_19:54:36</t>
  </si>
  <si>
    <t>/Users/aliciae/projects/shortlab/TGS-Processing-Scripts/MATLAB/pi3/2025-09-04/irradiation/V44_832864_470C-09-04-2025-03.40um-470C-Fe3p-5MeV-irradiation-POS-129.txt</t>
  </si>
  <si>
    <t>2025_09_04_19:55:36</t>
  </si>
  <si>
    <t>/Users/aliciae/projects/shortlab/TGS-Processing-Scripts/MATLAB/pi3/2025-09-04/irradiation/V44_832864_470C-09-04-2025-03.40um-470C-Fe3p-5MeV-irradiation-POS-130.txt</t>
  </si>
  <si>
    <t>2025_09_04_19:56:36</t>
  </si>
  <si>
    <t>/Users/aliciae/projects/shortlab/TGS-Processing-Scripts/MATLAB/pi3/2025-09-04/irradiation/V44_832864_470C-09-04-2025-03.40um-470C-Fe3p-5MeV-irradiation-POS-131.txt</t>
  </si>
  <si>
    <t>2025_09_04_19:57:36</t>
  </si>
  <si>
    <t>/Users/aliciae/projects/shortlab/TGS-Processing-Scripts/MATLAB/pi3/2025-09-04/irradiation/V44_832864_470C-09-04-2025-03.40um-470C-Fe3p-5MeV-irradiation-POS-132.txt</t>
  </si>
  <si>
    <t>2025_09_04_19:58:36</t>
  </si>
  <si>
    <t>/Users/aliciae/projects/shortlab/TGS-Processing-Scripts/MATLAB/pi3/2025-09-04/irradiation/V44_832864_470C-09-04-2025-03.40um-470C-Fe3p-5MeV-irradiation-POS-133.txt</t>
  </si>
  <si>
    <t>2025_09_04_19:59:37</t>
  </si>
  <si>
    <t>/Users/aliciae/projects/shortlab/TGS-Processing-Scripts/MATLAB/pi3/2025-09-04/irradiation/V44_832864_470C-09-04-2025-03.40um-470C-Fe3p-5MeV-irradiation-POS-134.txt</t>
  </si>
  <si>
    <t>2025_09_04_20:00:37</t>
  </si>
  <si>
    <t>/Users/aliciae/projects/shortlab/TGS-Processing-Scripts/MATLAB/pi3/2025-09-04/irradiation/V44_832864_470C-09-04-2025-03.40um-470C-Fe3p-5MeV-irradiation-POS-135.txt</t>
  </si>
  <si>
    <t>2025_09_04_20:01:37</t>
  </si>
  <si>
    <t>/Users/aliciae/projects/shortlab/TGS-Processing-Scripts/MATLAB/pi3/2025-09-04/irradiation/V44_832864_470C-09-04-2025-03.40um-470C-Fe3p-5MeV-irradiation-POS-136.txt</t>
  </si>
  <si>
    <t>2025_09_04_20:02:37</t>
  </si>
  <si>
    <t>/Users/aliciae/projects/shortlab/TGS-Processing-Scripts/MATLAB/pi3/2025-09-04/irradiation/V44_832864_470C-09-04-2025-03.40um-470C-Fe3p-5MeV-irradiation-POS-137.txt</t>
  </si>
  <si>
    <t>2025_09_04_20:03:36</t>
  </si>
  <si>
    <t>/Users/aliciae/projects/shortlab/TGS-Processing-Scripts/MATLAB/pi3/2025-09-04/irradiation/V44_832864_470C-09-04-2025-03.40um-470C-Fe3p-5MeV-irradiation-POS-138.txt</t>
  </si>
  <si>
    <t>2025_09_04_20:04:37</t>
  </si>
  <si>
    <t>/Users/aliciae/projects/shortlab/TGS-Processing-Scripts/MATLAB/pi3/2025-09-04/irradiation/V44_832864_470C-09-04-2025-03.40um-470C-Fe3p-5MeV-irradiation-POS-139.txt</t>
  </si>
  <si>
    <t>2025_09_04_20:05:37</t>
  </si>
  <si>
    <t>/Users/aliciae/projects/shortlab/TGS-Processing-Scripts/MATLAB/pi3/2025-09-04/irradiation/V44_832864_470C-09-04-2025-03.40um-470C-Fe3p-5MeV-irradiation-POS-140.txt</t>
  </si>
  <si>
    <t>2025_09_04_20:06:37</t>
  </si>
  <si>
    <t>/Users/aliciae/projects/shortlab/TGS-Processing-Scripts/MATLAB/pi3/2025-09-04/irradiation/V44_832864_470C-09-04-2025-03.40um-470C-Fe3p-5MeV-irradiation-POS-141.txt</t>
  </si>
  <si>
    <t>2025_09_04_20:07:37</t>
  </si>
  <si>
    <t>/Users/aliciae/projects/shortlab/TGS-Processing-Scripts/MATLAB/pi3/2025-09-04/irradiation/V44_832864_470C-09-04-2025-03.40um-470C-Fe3p-5MeV-irradiation-POS-142.txt</t>
  </si>
  <si>
    <t>2025_09_04_20:08:38</t>
  </si>
  <si>
    <t>/Users/aliciae/projects/shortlab/TGS-Processing-Scripts/MATLAB/pi3/2025-09-04/irradiation/V44_832864_470C-09-04-2025-03.40um-470C-Fe3p-5MeV-irradiation-POS-143.txt</t>
  </si>
  <si>
    <t>2025_09_04_20:09:38</t>
  </si>
  <si>
    <t>/Users/aliciae/projects/shortlab/TGS-Processing-Scripts/MATLAB/pi3/2025-09-04/irradiation/V44_832864_470C-09-04-2025-03.40um-470C-Fe3p-5MeV-irradiation-POS-144.txt</t>
  </si>
  <si>
    <t>2025_09_04_20:10:38</t>
  </si>
  <si>
    <t>/Users/aliciae/projects/shortlab/TGS-Processing-Scripts/MATLAB/pi3/2025-09-04/irradiation/V44_832864_470C-09-04-2025-03.40um-470C-Fe3p-5MeV-irradiation-POS-145.txt</t>
  </si>
  <si>
    <t>2025_09_04_20:11:38</t>
  </si>
  <si>
    <t>/Users/aliciae/projects/shortlab/TGS-Processing-Scripts/MATLAB/pi3/2025-09-04/irradiation/V44_832864_470C-09-04-2025-03.40um-470C-Fe3p-5MeV-irradiation-POS-146.txt</t>
  </si>
  <si>
    <t>2025_09_04_20:12:38</t>
  </si>
  <si>
    <t>/Users/aliciae/projects/shortlab/TGS-Processing-Scripts/MATLAB/pi3/2025-09-04/irradiation/V44_832864_470C-09-04-2025-03.40um-470C-Fe3p-5MeV-irradiation-POS-147.txt</t>
  </si>
  <si>
    <t>2025_09_04_20:13:39</t>
  </si>
  <si>
    <t>/Users/aliciae/projects/shortlab/TGS-Processing-Scripts/MATLAB/pi3/2025-09-04/irradiation/V44_832864_470C-09-04-2025-03.40um-470C-Fe3p-5MeV-irradiation-POS-148.txt</t>
  </si>
  <si>
    <t>2025_09_04_20:14:39</t>
  </si>
  <si>
    <t>/Users/aliciae/projects/shortlab/TGS-Processing-Scripts/MATLAB/pi3/2025-09-04/irradiation/V44_832864_470C-09-04-2025-03.40um-470C-Fe3p-5MeV-irradiation-POS-149.txt</t>
  </si>
  <si>
    <t>2025_09_04_20:15:39</t>
  </si>
  <si>
    <t>/Users/aliciae/projects/shortlab/TGS-Processing-Scripts/MATLAB/pi3/2025-09-04/irradiation/V44_832864_470C-09-04-2025-03.40um-470C-Fe3p-5MeV-irradiation-POS-150.txt</t>
  </si>
  <si>
    <t>2025_09_04_20:16:39</t>
  </si>
  <si>
    <t>/Users/aliciae/projects/shortlab/TGS-Processing-Scripts/MATLAB/pi3/2025-09-04/irradiation/V44_832864_470C-09-04-2025-03.40um-470C-Fe3p-5MeV-irradiation-POS-151.txt</t>
  </si>
  <si>
    <t>2025_09_04_20:17:39</t>
  </si>
  <si>
    <t>/Users/aliciae/projects/shortlab/TGS-Processing-Scripts/MATLAB/pi3/2025-09-04/irradiation/V44_832864_470C-09-04-2025-03.40um-470C-Fe3p-5MeV-irradiation-POS-152.txt</t>
  </si>
  <si>
    <t>2025_09_04_20:18:39</t>
  </si>
  <si>
    <t>/Users/aliciae/projects/shortlab/TGS-Processing-Scripts/MATLAB/pi3/2025-09-04/irradiation/V44_832864_470C-09-04-2025-03.40um-470C-Fe3p-5MeV-irradiation-POS-153.txt</t>
  </si>
  <si>
    <t>2025_09_04_20:19:39</t>
  </si>
  <si>
    <t>/Users/aliciae/projects/shortlab/TGS-Processing-Scripts/MATLAB/pi3/2025-09-04/irradiation/V44_832864_470C-09-04-2025-03.40um-470C-Fe3p-5MeV-irradiation-POS-154.txt</t>
  </si>
  <si>
    <t>2025_09_04_20:20:40</t>
  </si>
  <si>
    <t>/Users/aliciae/projects/shortlab/TGS-Processing-Scripts/MATLAB/pi3/2025-09-04/irradiation/V44_832864_470C-09-04-2025-03.40um-470C-Fe3p-5MeV-irradiation-POS-155.txt</t>
  </si>
  <si>
    <t>2025_09_04_20:21:39</t>
  </si>
  <si>
    <t>/Users/aliciae/projects/shortlab/TGS-Processing-Scripts/MATLAB/pi3/2025-09-04/irradiation/V44_832864_470C-09-04-2025-03.40um-470C-Fe3p-5MeV-irradiation-POS-156.txt</t>
  </si>
  <si>
    <t>2025_09_04_20:22:40</t>
  </si>
  <si>
    <t>/Users/aliciae/projects/shortlab/TGS-Processing-Scripts/MATLAB/pi3/2025-09-04/irradiation/V44_832864_470C-09-04-2025-03.40um-470C-Fe3p-5MeV-irradiation-POS-157.txt</t>
  </si>
  <si>
    <t>2025_09_04_20:23:40</t>
  </si>
  <si>
    <t>/Users/aliciae/projects/shortlab/TGS-Processing-Scripts/MATLAB/pi3/2025-09-04/irradiation/V44_832864_470C-09-04-2025-03.40um-470C-Fe3p-5MeV-irradiation-POS-158.txt</t>
  </si>
  <si>
    <t>2025_09_04_20:24:41</t>
  </si>
  <si>
    <t>/Users/aliciae/projects/shortlab/TGS-Processing-Scripts/MATLAB/pi3/2025-09-04/irradiation/V44_832864_470C-09-04-2025-03.40um-470C-Fe3p-5MeV-irradiation-POS-159.txt</t>
  </si>
  <si>
    <t>2025_09_04_20:25:40</t>
  </si>
  <si>
    <t>/Users/aliciae/projects/shortlab/TGS-Processing-Scripts/MATLAB/pi3/2025-09-04/irradiation/V44_832864_470C-09-04-2025-03.40um-470C-Fe3p-5MeV-irradiation-POS-160.txt</t>
  </si>
  <si>
    <t>2025_09_04_20:26:40</t>
  </si>
  <si>
    <t>/Users/aliciae/projects/shortlab/TGS-Processing-Scripts/MATLAB/pi3/2025-09-04/irradiation/V44_832864_470C-09-04-2025-03.40um-470C-Fe3p-5MeV-irradiation-POS-161.txt</t>
  </si>
  <si>
    <t>2025_09_04_20:27:40</t>
  </si>
  <si>
    <t>/Users/aliciae/projects/shortlab/TGS-Processing-Scripts/MATLAB/pi3/2025-09-04/irradiation/V44_832864_470C-09-04-2025-03.40um-470C-Fe3p-5MeV-irradiation-POS-162.txt</t>
  </si>
  <si>
    <t>2025_09_04_20:28:41</t>
  </si>
  <si>
    <t>/Users/aliciae/projects/shortlab/TGS-Processing-Scripts/MATLAB/pi3/2025-09-04/irradiation/V44_832864_470C-09-04-2025-03.40um-470C-Fe3p-5MeV-irradiation-POS-163.txt</t>
  </si>
  <si>
    <t>2025_09_04_20:29:41</t>
  </si>
  <si>
    <t>/Users/aliciae/projects/shortlab/TGS-Processing-Scripts/MATLAB/pi3/2025-09-04/irradiation/V44_832864_470C-09-04-2025-03.40um-470C-Fe3p-5MeV-irradiation-POS-164.txt</t>
  </si>
  <si>
    <t>2025_09_04_20:30:41</t>
  </si>
  <si>
    <t>/Users/aliciae/projects/shortlab/TGS-Processing-Scripts/MATLAB/pi3/2025-09-04/irradiation/V44_832864_470C-09-04-2025-03.40um-470C-Fe3p-5MeV-irradiation-POS-165.txt</t>
  </si>
  <si>
    <t>2025_09_04_20:31:41</t>
  </si>
  <si>
    <t>/Users/aliciae/projects/shortlab/TGS-Processing-Scripts/MATLAB/pi3/2025-09-04/irradiation/V44_832864_470C-09-04-2025-03.40um-470C-Fe3p-5MeV-irradiation-POS-166.txt</t>
  </si>
  <si>
    <t>2025_09_04_20:32:42</t>
  </si>
  <si>
    <t>/Users/aliciae/projects/shortlab/TGS-Processing-Scripts/MATLAB/pi3/2025-09-04/irradiation/V44_832864_470C-09-04-2025-03.40um-470C-Fe3p-5MeV-irradiation-POS-167.txt</t>
  </si>
  <si>
    <t>2025_09_04_20:33:42</t>
  </si>
  <si>
    <t>/Users/aliciae/projects/shortlab/TGS-Processing-Scripts/MATLAB/pi3/2025-09-04/irradiation/V44_832864_470C-09-04-2025-03.40um-470C-Fe3p-5MeV-irradiation-POS-168.txt</t>
  </si>
  <si>
    <t>2025_09_04_20:34:42</t>
  </si>
  <si>
    <t>/Users/aliciae/projects/shortlab/TGS-Processing-Scripts/MATLAB/pi3/2025-09-04/irradiation/V44_832864_470C-09-04-2025-03.40um-470C-Fe3p-5MeV-irradiation-POS-169.txt</t>
  </si>
  <si>
    <t>2025_09_04_20:35:42</t>
  </si>
  <si>
    <t>/Users/aliciae/projects/shortlab/TGS-Processing-Scripts/MATLAB/pi3/2025-09-04/irradiation/V44_832864_470C-09-04-2025-03.40um-470C-Fe3p-5MeV-irradiation-POS-170.txt</t>
  </si>
  <si>
    <t>2025_09_04_20:36:42</t>
  </si>
  <si>
    <t>/Users/aliciae/projects/shortlab/TGS-Processing-Scripts/MATLAB/pi3/2025-09-04/irradiation/V44_832864_470C-09-04-2025-03.40um-470C-Fe3p-5MeV-irradiation-POS-171.txt</t>
  </si>
  <si>
    <t>2025_09_04_20:37:42</t>
  </si>
  <si>
    <t>/Users/aliciae/projects/shortlab/TGS-Processing-Scripts/MATLAB/pi3/2025-09-04/irradiation/V44_832864_470C-09-04-2025-03.40um-470C-Fe3p-5MeV-irradiation-POS-172.txt</t>
  </si>
  <si>
    <t>2025_09_04_20:38:42</t>
  </si>
  <si>
    <t>/Users/aliciae/projects/shortlab/TGS-Processing-Scripts/MATLAB/pi3/2025-09-04/irradiation/V44_832864_470C-09-04-2025-03.40um-470C-Fe3p-5MeV-irradiation-POS-173.txt</t>
  </si>
  <si>
    <t>2025_09_04_20:39:43</t>
  </si>
  <si>
    <t>/Users/aliciae/projects/shortlab/TGS-Processing-Scripts/MATLAB/pi3/2025-09-04/irradiation/V44_832864_470C-09-04-2025-03.40um-470C-Fe3p-5MeV-irradiation-POS-174.txt</t>
  </si>
  <si>
    <t>2025_09_04_20:40:42</t>
  </si>
  <si>
    <t>/Users/aliciae/projects/shortlab/TGS-Processing-Scripts/MATLAB/pi3/2025-09-04/irradiation/V44_832864_470C-09-04-2025-03.40um-470C-Fe3p-5MeV-irradiation-POS-175.txt</t>
  </si>
  <si>
    <t>2025_09_04_20:41:42</t>
  </si>
  <si>
    <t>/Users/aliciae/projects/shortlab/TGS-Processing-Scripts/MATLAB/pi3/2025-09-04/irradiation/V44_832864_470C-09-04-2025-03.40um-470C-Fe3p-5MeV-irradiation-POS-176.txt</t>
  </si>
  <si>
    <t>2025_09_04_20:42:43</t>
  </si>
  <si>
    <t>/Users/aliciae/projects/shortlab/TGS-Processing-Scripts/MATLAB/pi3/2025-09-04/irradiation/V44_832864_470C-09-04-2025-03.40um-470C-Fe3p-5MeV-irradiation-POS-177.txt</t>
  </si>
  <si>
    <t>2025_09_04_20:43:43</t>
  </si>
  <si>
    <t>/Users/aliciae/projects/shortlab/TGS-Processing-Scripts/MATLAB/pi3/2025-09-04/irradiation/V44_832864_470C-09-04-2025-03.40um-470C-Fe3p-5MeV-irradiation-POS-178.txt</t>
  </si>
  <si>
    <t>2025_09_04_20:44:43</t>
  </si>
  <si>
    <t>/Users/aliciae/projects/shortlab/TGS-Processing-Scripts/MATLAB/pi3/2025-09-04/irradiation/V44_832864_470C-09-04-2025-03.40um-470C-Fe3p-5MeV-irradiation-POS-179.txt</t>
  </si>
  <si>
    <t>2025_09_04_20:45:44</t>
  </si>
  <si>
    <t>/Users/aliciae/projects/shortlab/TGS-Processing-Scripts/MATLAB/pi3/2025-09-04/irradiation/V44_832864_470C-09-04-2025-03.40um-470C-Fe3p-5MeV-irradiation-POS-180.txt</t>
  </si>
  <si>
    <t>2025_09_04_20:46:44</t>
  </si>
  <si>
    <t>/Users/aliciae/projects/shortlab/TGS-Processing-Scripts/MATLAB/pi3/2025-09-04/irradiation/V44_832864_470C-09-04-2025-03.40um-470C-Fe3p-5MeV-irradiation-POS-181.txt</t>
  </si>
  <si>
    <t>2025_09_04_20:47:44</t>
  </si>
  <si>
    <t>/Users/aliciae/projects/shortlab/TGS-Processing-Scripts/MATLAB/pi3/2025-09-04/irradiation/V44_832864_470C-09-04-2025-03.40um-470C-Fe3p-5MeV-irradiation-POS-182.txt</t>
  </si>
  <si>
    <t>2025_09_04_20:48:44</t>
  </si>
  <si>
    <t>/Users/aliciae/projects/shortlab/TGS-Processing-Scripts/MATLAB/pi3/2025-09-04/irradiation/V44_832864_470C-09-04-2025-03.40um-470C-Fe3p-5MeV-irradiation-POS-183.txt</t>
  </si>
  <si>
    <t>2025_09_04_20:49:44</t>
  </si>
  <si>
    <t>/Users/aliciae/projects/shortlab/TGS-Processing-Scripts/MATLAB/pi3/2025-09-04/irradiation/V44_832864_470C-09-04-2025-03.40um-470C-Fe3p-5MeV-irradiation-POS-184.txt</t>
  </si>
  <si>
    <t>2025_09_04_20:50:44</t>
  </si>
  <si>
    <t>/Users/aliciae/projects/shortlab/TGS-Processing-Scripts/MATLAB/pi3/2025-09-04/irradiation/V44_832864_470C-09-04-2025-03.40um-470C-Fe3p-5MeV-irradiation-POS-185.txt</t>
  </si>
  <si>
    <t>2025_09_04_20:51:44</t>
  </si>
  <si>
    <t>/Users/aliciae/projects/shortlab/TGS-Processing-Scripts/MATLAB/pi3/2025-09-04/irradiation/V44_832864_470C-09-04-2025-03.40um-470C-Fe3p-5MeV-irradiation-POS-186.txt</t>
  </si>
  <si>
    <t>2025_09_04_20:52:44</t>
  </si>
  <si>
    <t>/Users/aliciae/projects/shortlab/TGS-Processing-Scripts/MATLAB/pi3/2025-09-04/irradiation/V44_832864_470C-09-04-2025-03.40um-470C-Fe3p-5MeV-irradiation-POS-187.txt</t>
  </si>
  <si>
    <t>2025_09_04_20:53:45</t>
  </si>
  <si>
    <t>/Users/aliciae/projects/shortlab/TGS-Processing-Scripts/MATLAB/pi3/2025-09-04/irradiation/V44_832864_470C-09-04-2025-03.40um-470C-Fe3p-5MeV-irradiation-POS-188.txt</t>
  </si>
  <si>
    <t>2025_09_04_20:54:45</t>
  </si>
  <si>
    <t>/Users/aliciae/projects/shortlab/TGS-Processing-Scripts/MATLAB/pi3/2025-09-04/irradiation/V44_832864_470C-09-04-2025-03.40um-470C-Fe3p-5MeV-irradiation-POS-189.txt</t>
  </si>
  <si>
    <t>2025_09_04_20:55:45</t>
  </si>
  <si>
    <t>/Users/aliciae/projects/shortlab/TGS-Processing-Scripts/MATLAB/pi3/2025-09-04/irradiation/V44_832864_470C-09-04-2025-03.40um-470C-Fe3p-5MeV-irradiation-POS-190.txt</t>
  </si>
  <si>
    <t>2025_09_04_20:56:45</t>
  </si>
  <si>
    <t>/Users/aliciae/projects/shortlab/TGS-Processing-Scripts/MATLAB/pi3/2025-09-04/irradiation/V44_832864_470C-09-04-2025-03.40um-470C-Fe3p-5MeV-irradiation-POS-191.txt</t>
  </si>
  <si>
    <t>2025_09_04_20:57:45</t>
  </si>
  <si>
    <t>/Users/aliciae/projects/shortlab/TGS-Processing-Scripts/MATLAB/pi3/2025-09-04/irradiation/V44_832864_470C-09-04-2025-03.40um-470C-Fe3p-5MeV-irradiation-POS-192.txt</t>
  </si>
  <si>
    <t>2025_09_04_20:58:45</t>
  </si>
  <si>
    <t>/Users/aliciae/projects/shortlab/TGS-Processing-Scripts/MATLAB/pi3/2025-09-04/irradiation/V44_832864_470C-09-04-2025-03.40um-470C-Fe3p-5MeV-irradiation-POS-193.txt</t>
  </si>
  <si>
    <t>2025_09_04_20:59:46</t>
  </si>
  <si>
    <t>/Users/aliciae/projects/shortlab/TGS-Processing-Scripts/MATLAB/pi3/2025-09-04/irradiation/V44_832864_470C-09-04-2025-03.40um-470C-Fe3p-5MeV-irradiation-POS-194.txt</t>
  </si>
  <si>
    <t>2025_09_04_21:00:46</t>
  </si>
  <si>
    <t>/Users/aliciae/projects/shortlab/TGS-Processing-Scripts/MATLAB/pi3/2025-09-04/irradiation/V44_832864_470C-09-04-2025-03.40um-470C-Fe3p-5MeV-irradiation-POS-195.txt</t>
  </si>
  <si>
    <t>2025_09_04_21:01:46</t>
  </si>
  <si>
    <t>/Users/aliciae/projects/shortlab/TGS-Processing-Scripts/MATLAB/pi3/2025-09-04/irradiation/V44_832864_470C-09-04-2025-03.40um-470C-Fe3p-5MeV-irradiation-POS-196.txt</t>
  </si>
  <si>
    <t>2025_09_04_21:02:46</t>
  </si>
  <si>
    <t>/Users/aliciae/projects/shortlab/TGS-Processing-Scripts/MATLAB/pi3/2025-09-04/irradiation/V44_832864_470C-09-04-2025-03.40um-470C-Fe3p-5MeV-irradiation-POS-197.txt</t>
  </si>
  <si>
    <t>2025_09_04_21:03:46</t>
  </si>
  <si>
    <t>/Users/aliciae/projects/shortlab/TGS-Processing-Scripts/MATLAB/pi3/2025-09-04/irradiation/V44_832864_470C-09-04-2025-03.40um-470C-Fe3p-5MeV-irradiation-POS-198.txt</t>
  </si>
  <si>
    <t>2025_09_04_21:04:46</t>
  </si>
  <si>
    <t>/Users/aliciae/projects/shortlab/TGS-Processing-Scripts/MATLAB/pi3/2025-09-04/irradiation/V44_832864_470C-09-04-2025-03.40um-470C-Fe3p-5MeV-irradiation-POS-199.txt</t>
  </si>
  <si>
    <t>2025_09_04_21:05:46</t>
  </si>
  <si>
    <t>/Users/aliciae/projects/shortlab/TGS-Processing-Scripts/MATLAB/pi3/2025-09-04/irradiation/V44_832864_470C-09-04-2025-03.40um-470C-Fe3p-5MeV-irradiation-POS-200.txt</t>
  </si>
  <si>
    <t>2025_09_04_21:06:47</t>
  </si>
  <si>
    <t>/Users/aliciae/projects/shortlab/TGS-Processing-Scripts/MATLAB/pi3/2025-09-04/irradiation/V44_832864_470C-09-04-2025-03.40um-470C-Fe3p-5MeV-irradiation-POS-201.txt</t>
  </si>
  <si>
    <t>2025_09_04_21:07:47</t>
  </si>
  <si>
    <t>/Users/aliciae/projects/shortlab/TGS-Processing-Scripts/MATLAB/pi3/2025-09-04/irradiation/V44_832864_470C-09-04-2025-03.40um-470C-Fe3p-5MeV-irradiation-POS-202.txt</t>
  </si>
  <si>
    <t>2025_09_04_21:08:47</t>
  </si>
  <si>
    <t>/Users/aliciae/projects/shortlab/TGS-Processing-Scripts/MATLAB/pi3/2025-09-04/irradiation/V44_832864_470C-09-04-2025-03.40um-470C-Fe3p-5MeV-irradiation-POS-203.txt</t>
  </si>
  <si>
    <t>2025_09_04_21:09:47</t>
  </si>
  <si>
    <t>/Users/aliciae/projects/shortlab/TGS-Processing-Scripts/MATLAB/pi3/2025-09-04/irradiation/V44_832864_470C-09-04-2025-03.40um-470C-Fe3p-5MeV-irradiation-POS-204.txt</t>
  </si>
  <si>
    <t>2025_09_04_21:10:47</t>
  </si>
  <si>
    <t>/Users/aliciae/projects/shortlab/TGS-Processing-Scripts/MATLAB/pi3/2025-09-04/irradiation/V44_832864_470C-09-04-2025-03.40um-470C-Fe3p-5MeV-irradiation-POS-205.txt</t>
  </si>
  <si>
    <t>2025_09_04_21:11:47</t>
  </si>
  <si>
    <t>/Users/aliciae/projects/shortlab/TGS-Processing-Scripts/MATLAB/pi3/2025-09-04/irradiation/V44_832864_470C-09-04-2025-03.40um-470C-Fe3p-5MeV-irradiation-POS-206.txt</t>
  </si>
  <si>
    <t>2025_09_04_21:12:47</t>
  </si>
  <si>
    <t>/Users/aliciae/projects/shortlab/TGS-Processing-Scripts/MATLAB/pi3/2025-09-04/irradiation/V44_832864_470C-09-04-2025-03.40um-470C-Fe3p-5MeV-irradiation-POS-207.txt</t>
  </si>
  <si>
    <t>2025_09_04_21:13:48</t>
  </si>
  <si>
    <t>/Users/aliciae/projects/shortlab/TGS-Processing-Scripts/MATLAB/pi3/2025-09-04/irradiation/V44_832864_470C-09-04-2025-03.40um-470C-Fe3p-5MeV-irradiation-POS-208.txt</t>
  </si>
  <si>
    <t>2025_09_04_21:14:48</t>
  </si>
  <si>
    <t>/Users/aliciae/projects/shortlab/TGS-Processing-Scripts/MATLAB/pi3/2025-09-04/irradiation/V44_832864_470C-09-04-2025-03.40um-470C-Fe3p-5MeV-irradiation-POS-209.txt</t>
  </si>
  <si>
    <t>2025_09_04_21:15:48</t>
  </si>
  <si>
    <t>/Users/aliciae/projects/shortlab/TGS-Processing-Scripts/MATLAB/pi3/2025-09-04/irradiation/V44_832864_470C-09-04-2025-03.40um-470C-Fe3p-5MeV-irradiation-POS-210.txt</t>
  </si>
  <si>
    <t>2025_09_04_21:16:48</t>
  </si>
  <si>
    <t>/Users/aliciae/projects/shortlab/TGS-Processing-Scripts/MATLAB/pi3/2025-09-04/irradiation/V44_832864_470C-09-04-2025-03.40um-470C-Fe3p-5MeV-irradiation-POS-211.txt</t>
  </si>
  <si>
    <t>2025_09_04_21:17:48</t>
  </si>
  <si>
    <t>/Users/aliciae/projects/shortlab/TGS-Processing-Scripts/MATLAB/pi3/2025-09-04/irradiation/V44_832864_470C-09-04-2025-03.40um-470C-Fe3p-5MeV-irradiation-POS-212.txt</t>
  </si>
  <si>
    <t>2025_09_04_21:18:48</t>
  </si>
  <si>
    <t>/Users/aliciae/projects/shortlab/TGS-Processing-Scripts/MATLAB/pi3/2025-09-04/irradiation/V44_832864_470C-09-04-2025-03.40um-470C-Fe3p-5MeV-irradiation-POS-213.txt</t>
  </si>
  <si>
    <t>2025_09_04_21:19:49</t>
  </si>
  <si>
    <t>/Users/aliciae/projects/shortlab/TGS-Processing-Scripts/MATLAB/pi3/2025-09-04/irradiation/V44_832864_470C-09-04-2025-03.40um-470C-Fe3p-5MeV-irradiation-POS-214.txt</t>
  </si>
  <si>
    <t>2025_09_04_21:20:49</t>
  </si>
  <si>
    <t>/Users/aliciae/projects/shortlab/TGS-Processing-Scripts/MATLAB/pi3/2025-09-04/irradiation/V44_832864_470C-09-04-2025-03.40um-470C-Fe3p-5MeV-irradiation-POS-215.txt</t>
  </si>
  <si>
    <t>2025_09_04_21:21:49</t>
  </si>
  <si>
    <t>/Users/aliciae/projects/shortlab/TGS-Processing-Scripts/MATLAB/pi3/2025-09-04/irradiation/V44_832864_470C-09-04-2025-03.40um-470C-Fe3p-5MeV-irradiation-POS-216.txt</t>
  </si>
  <si>
    <t>2025_09_04_21:22:49</t>
  </si>
  <si>
    <t>/Users/aliciae/projects/shortlab/TGS-Processing-Scripts/MATLAB/pi3/2025-09-04/irradiation/V44_832864_470C-09-04-2025-03.40um-470C-Fe3p-5MeV-irradiation-POS-217.txt</t>
  </si>
  <si>
    <t>2025_09_04_21:23:49</t>
  </si>
  <si>
    <t>/Users/aliciae/projects/shortlab/TGS-Processing-Scripts/MATLAB/pi3/2025-09-04/irradiation/V44_832864_470C-09-04-2025-03.40um-470C-Fe3p-5MeV-irradiation-POS-218.txt</t>
  </si>
  <si>
    <t>2025_09_04_21:24:49</t>
  </si>
  <si>
    <t>/Users/aliciae/projects/shortlab/TGS-Processing-Scripts/MATLAB/pi3/2025-09-04/irradiation/V44_832864_470C-09-04-2025-03.40um-470C-Fe3p-5MeV-irradiation-POS-219.txt</t>
  </si>
  <si>
    <t>2025_09_04_21:25:49</t>
  </si>
  <si>
    <t>/Users/aliciae/projects/shortlab/TGS-Processing-Scripts/MATLAB/pi3/2025-09-04/irradiation/V44_832864_470C-09-04-2025-03.40um-470C-Fe3p-5MeV-irradiation-POS-220.txt</t>
  </si>
  <si>
    <t>2025_09_04_21:26:50</t>
  </si>
  <si>
    <t>/Users/aliciae/projects/shortlab/TGS-Processing-Scripts/MATLAB/pi3/2025-09-04/irradiation/V44_832864_470C-09-04-2025-03.40um-470C-Fe3p-5MeV-irradiation-POS-221.txt</t>
  </si>
  <si>
    <t>2025_09_04_21:27:50</t>
  </si>
  <si>
    <t>/Users/aliciae/projects/shortlab/TGS-Processing-Scripts/MATLAB/pi3/2025-09-04/irradiation/V44_832864_470C-09-04-2025-03.40um-470C-Fe3p-5MeV-irradiation-POS-222.txt</t>
  </si>
  <si>
    <t>2025_09_04_21:28:50</t>
  </si>
  <si>
    <t>/Users/aliciae/projects/shortlab/TGS-Processing-Scripts/MATLAB/pi3/2025-09-04/irradiation/V44_832864_470C-09-04-2025-03.40um-470C-Fe3p-5MeV-irradiation-POS-223.txt</t>
  </si>
  <si>
    <t>2025_09_04_21:29:50</t>
  </si>
  <si>
    <t>/Users/aliciae/projects/shortlab/TGS-Processing-Scripts/MATLAB/pi3/2025-09-04/irradiation/V44_832864_470C-09-04-2025-03.40um-470C-Fe3p-5MeV-irradiation-POS-224.txt</t>
  </si>
  <si>
    <t>2025_09_04_21:30:50</t>
  </si>
  <si>
    <t>/Users/aliciae/projects/shortlab/TGS-Processing-Scripts/MATLAB/pi3/2025-09-04/irradiation/V44_832864_470C-09-04-2025-03.40um-470C-Fe3p-5MeV-irradiation-POS-225.txt</t>
  </si>
  <si>
    <t>2025_09_04_21:31:50</t>
  </si>
  <si>
    <t>/Users/aliciae/projects/shortlab/TGS-Processing-Scripts/MATLAB/pi3/2025-09-04/irradiation/V44_832864_470C-09-04-2025-03.40um-470C-Fe3p-5MeV-irradiation-POS-226.txt</t>
  </si>
  <si>
    <t>2025_09_04_21:32:51</t>
  </si>
  <si>
    <t>/Users/aliciae/projects/shortlab/TGS-Processing-Scripts/MATLAB/pi3/2025-09-04/irradiation/V44_832864_470C-09-04-2025-03.40um-470C-Fe3p-5MeV-irradiation-POS-227.txt</t>
  </si>
  <si>
    <t>2025_09_04_21:33:51</t>
  </si>
  <si>
    <t>/Users/aliciae/projects/shortlab/TGS-Processing-Scripts/MATLAB/pi3/2025-09-04/irradiation/V44_832864_470C-09-04-2025-03.40um-470C-Fe3p-5MeV-irradiation-POS-228.txt</t>
  </si>
  <si>
    <t>2025_09_04_21:34:51</t>
  </si>
  <si>
    <t>/Users/aliciae/projects/shortlab/TGS-Processing-Scripts/MATLAB/pi3/2025-09-04/irradiation/V44_832864_470C-09-04-2025-03.40um-470C-Fe3p-5MeV-irradiation-POS-229.txt</t>
  </si>
  <si>
    <t>2025_09_04_21:35:52</t>
  </si>
  <si>
    <t>/Users/aliciae/projects/shortlab/TGS-Processing-Scripts/MATLAB/pi3/2025-09-04/irradiation/V44_832864_470C-09-04-2025-03.40um-470C-Fe3p-5MeV-irradiation-POS-230.txt</t>
  </si>
  <si>
    <t>2025_09_04_21:36:51</t>
  </si>
  <si>
    <t>/Users/aliciae/projects/shortlab/TGS-Processing-Scripts/MATLAB/pi3/2025-09-04/irradiation/V44_832864_470C-09-04-2025-03.40um-470C-Fe3p-5MeV-irradiation-POS-231.txt</t>
  </si>
  <si>
    <t>2025_09_04_21:37:51</t>
  </si>
  <si>
    <t>/Users/aliciae/projects/shortlab/TGS-Processing-Scripts/MATLAB/pi3/2025-09-04/irradiation/V44_832864_470C-09-04-2025-03.40um-470C-Fe3p-5MeV-irradiation-POS-232.txt</t>
  </si>
  <si>
    <t>2025_09_04_21:38:51</t>
  </si>
  <si>
    <t>/Users/aliciae/projects/shortlab/TGS-Processing-Scripts/MATLAB/pi3/2025-09-04/irradiation/V44_832864_470C-09-04-2025-03.40um-470C-Fe3p-5MeV-irradiation-POS-233.txt</t>
  </si>
  <si>
    <t>2025_09_04_21:39:52</t>
  </si>
  <si>
    <t>/Users/aliciae/projects/shortlab/TGS-Processing-Scripts/MATLAB/pi3/2025-09-04/irradiation/V44_832864_470C-09-04-2025-03.40um-470C-Fe3p-5MeV-irradiation-POS-234.txt</t>
  </si>
  <si>
    <t>2025_09_04_21:40:52</t>
  </si>
  <si>
    <t>/Users/aliciae/projects/shortlab/TGS-Processing-Scripts/MATLAB/pi3/2025-09-04/irradiation/V44_832864_470C-09-04-2025-03.40um-470C-Fe3p-5MeV-irradiation-POS-235.txt</t>
  </si>
  <si>
    <t>2025_09_04_21:41:52</t>
  </si>
  <si>
    <t>/Users/aliciae/projects/shortlab/TGS-Processing-Scripts/MATLAB/pi3/2025-09-04/irradiation/V44_832864_470C-09-04-2025-03.40um-470C-Fe3p-5MeV-irradiation-POS-236.txt</t>
  </si>
  <si>
    <t>2025_09_04_21:42:52</t>
  </si>
  <si>
    <t>/Users/aliciae/projects/shortlab/TGS-Processing-Scripts/MATLAB/pi3/2025-09-04/irradiation/V44_832864_470C-09-04-2025-03.40um-470C-Fe3p-5MeV-irradiation-POS-237.txt</t>
  </si>
  <si>
    <t>2025_09_04_21:43:52</t>
  </si>
  <si>
    <t>/Users/aliciae/projects/shortlab/TGS-Processing-Scripts/MATLAB/pi3/2025-09-04/irradiation/V44_832864_470C-09-04-2025-03.40um-470C-Fe3p-5MeV-irradiation-POS-238.txt</t>
  </si>
  <si>
    <t>2025_09_04_21:44:52</t>
  </si>
  <si>
    <t>/Users/aliciae/projects/shortlab/TGS-Processing-Scripts/MATLAB/pi3/2025-09-04/irradiation/V44_832864_470C-09-04-2025-03.40um-470C-Fe3p-5MeV-irradiation-POS-239.txt</t>
  </si>
  <si>
    <t>2025_09_04_21:45:52</t>
  </si>
  <si>
    <t>/Users/aliciae/projects/shortlab/TGS-Processing-Scripts/MATLAB/pi3/2025-09-04/irradiation/V44_832864_470C-09-04-2025-03.40um-470C-Fe3p-5MeV-irradiation-POS-240.txt</t>
  </si>
  <si>
    <t>2025_09_04_21:46:52</t>
  </si>
  <si>
    <t>/Users/aliciae/projects/shortlab/TGS-Processing-Scripts/MATLAB/pi3/2025-09-04/irradiation/V44_832864_470C-09-04-2025-03.40um-470C-Fe3p-5MeV-irradiation-POS-241.txt</t>
  </si>
  <si>
    <t>2025_09_04_21:47:53</t>
  </si>
  <si>
    <t>/Users/aliciae/projects/shortlab/TGS-Processing-Scripts/MATLAB/pi3/2025-09-04/irradiation/V44_832864_470C-09-04-2025-03.40um-470C-Fe3p-5MeV-irradiation-POS-242.txt</t>
  </si>
  <si>
    <t>2025_09_04_21:48:53</t>
  </si>
  <si>
    <t>/Users/aliciae/projects/shortlab/TGS-Processing-Scripts/MATLAB/pi3/2025-09-04/irradiation/V44_832864_470C-09-04-2025-03.40um-470C-Fe3p-5MeV-irradiation-POS-243.txt</t>
  </si>
  <si>
    <t>2025_09_04_21:49:53</t>
  </si>
  <si>
    <t>/Users/aliciae/projects/shortlab/TGS-Processing-Scripts/MATLAB/pi3/2025-09-04/irradiation/V44_832864_470C-09-04-2025-03.40um-470C-Fe3p-5MeV-irradiation-POS-244.txt</t>
  </si>
  <si>
    <t>2025_09_04_21:50:53</t>
  </si>
  <si>
    <t>/Users/aliciae/projects/shortlab/TGS-Processing-Scripts/MATLAB/pi3/2025-09-04/irradiation/V44_832864_470C-09-04-2025-03.40um-470C-Fe3p-5MeV-irradiation-POS-245.txt</t>
  </si>
  <si>
    <t>2025_09_04_21:51:54</t>
  </si>
  <si>
    <t>/Users/aliciae/projects/shortlab/TGS-Processing-Scripts/MATLAB/pi3/2025-09-04/irradiation/V44_832864_470C-09-04-2025-03.40um-470C-Fe3p-5MeV-irradiation-POS-246.txt</t>
  </si>
  <si>
    <t>2025_09_04_21:52:54</t>
  </si>
  <si>
    <t>/Users/aliciae/projects/shortlab/TGS-Processing-Scripts/MATLAB/pi3/2025-09-04/irradiation/V44_832864_470C-09-04-2025-03.40um-470C-Fe3p-5MeV-irradiation-POS-247.txt</t>
  </si>
  <si>
    <t>2025_09_04_21:53:54</t>
  </si>
  <si>
    <t>/Users/aliciae/projects/shortlab/TGS-Processing-Scripts/MATLAB/pi3/2025-09-04/irradiation/V44_832864_470C-09-04-2025-03.40um-470C-Fe3p-5MeV-irradiation-POS-248.txt</t>
  </si>
  <si>
    <t>2025_09_04_21:54:54</t>
  </si>
  <si>
    <t>/Users/aliciae/projects/shortlab/TGS-Processing-Scripts/MATLAB/pi3/2025-09-04/irradiation/V44_832864_470C-09-04-2025-03.40um-470C-Fe3p-5MeV-irradiation-POS-249.txt</t>
  </si>
  <si>
    <t>2025_09_04_21:55:54</t>
  </si>
  <si>
    <t>/Users/aliciae/projects/shortlab/TGS-Processing-Scripts/MATLAB/pi3/2025-09-04/irradiation/V44_832864_470C-09-04-2025-03.40um-470C-Fe3p-5MeV-irradiation-POS-250.txt</t>
  </si>
  <si>
    <t>2025_09_04_21:56:54</t>
  </si>
  <si>
    <t>/Users/aliciae/projects/shortlab/TGS-Processing-Scripts/MATLAB/pi3/2025-09-04/irradiation/V44_832864_470C-09-04-2025-03.40um-470C-Fe3p-5MeV-irradiation-POS-251.txt</t>
  </si>
  <si>
    <t>2025_09_04_21:57:54</t>
  </si>
  <si>
    <t>/Users/aliciae/projects/shortlab/TGS-Processing-Scripts/MATLAB/pi3/2025-09-04/irradiation/V44_832864_470C-09-04-2025-03.40um-470C-Fe3p-5MeV-irradiation-POS-252.txt</t>
  </si>
  <si>
    <t>2025_09_04_21:58:54</t>
  </si>
  <si>
    <t>/Users/aliciae/projects/shortlab/TGS-Processing-Scripts/MATLAB/pi3/2025-09-04/irradiation/V44_832864_470C-09-04-2025-03.40um-470C-Fe3p-5MeV-irradiation-POS-253.txt</t>
  </si>
  <si>
    <t>2025_09_04_21:59:54</t>
  </si>
  <si>
    <t>/Users/aliciae/projects/shortlab/TGS-Processing-Scripts/MATLAB/pi3/2025-09-04/irradiation/V44_832864_470C-09-04-2025-03.40um-470C-Fe3p-5MeV-irradiation-POS-254.txt</t>
  </si>
  <si>
    <t>2025_09_04_22:00:55</t>
  </si>
  <si>
    <t>/Users/aliciae/projects/shortlab/TGS-Processing-Scripts/MATLAB/pi3/2025-09-04/irradiation/V44_832864_470C-09-04-2025-03.40um-470C-Fe3p-5MeV-irradiation-POS-255.txt</t>
  </si>
  <si>
    <t>2025_09_04_22:01:55</t>
  </si>
  <si>
    <t>/Users/aliciae/projects/shortlab/TGS-Processing-Scripts/MATLAB/pi3/2025-09-04/irradiation/V44_832864_470C-09-04-2025-03.40um-470C-Fe3p-5MeV-irradiation-POS-256.txt</t>
  </si>
  <si>
    <t>2025_09_04_22:02:55</t>
  </si>
  <si>
    <t>/Users/aliciae/projects/shortlab/TGS-Processing-Scripts/MATLAB/pi3/2025-09-04/irradiation/V44_832864_470C-09-04-2025-03.40um-470C-Fe3p-5MeV-irradiation-POS-257.txt</t>
  </si>
  <si>
    <t>2025_09_04_22:03:55</t>
  </si>
  <si>
    <t>/Users/aliciae/projects/shortlab/TGS-Processing-Scripts/MATLAB/pi3/2025-09-04/irradiation/V44_832864_470C-09-04-2025-03.40um-470C-Fe3p-5MeV-irradiation-POS-258.txt</t>
  </si>
  <si>
    <t>2025_09_04_22:04:55</t>
  </si>
  <si>
    <t>/Users/aliciae/projects/shortlab/TGS-Processing-Scripts/MATLAB/pi3/2025-09-04/irradiation/V44_832864_470C-09-04-2025-03.40um-470C-Fe3p-5MeV-irradiation-POS-259.txt</t>
  </si>
  <si>
    <t>2025_09_04_22:05:55</t>
  </si>
  <si>
    <t>/Users/aliciae/projects/shortlab/TGS-Processing-Scripts/MATLAB/pi3/2025-09-04/irradiation/V44_832864_470C-09-04-2025-03.40um-470C-Fe3p-5MeV-irradiation-POS-260.txt</t>
  </si>
  <si>
    <t>2025_09_04_22:06:56</t>
  </si>
  <si>
    <t>/Users/aliciae/projects/shortlab/TGS-Processing-Scripts/MATLAB/pi3/2025-09-04/irradiation/V44_832864_470C-09-04-2025-03.40um-470C-Fe3p-5MeV-irradiation-POS-261.txt</t>
  </si>
  <si>
    <t>2025_09_04_22:07:56</t>
  </si>
  <si>
    <t>/Users/aliciae/projects/shortlab/TGS-Processing-Scripts/MATLAB/pi3/2025-09-04/irradiation/V44_832864_470C-09-04-2025-03.40um-470C-Fe3p-5MeV-irradiation-POS-262.txt</t>
  </si>
  <si>
    <t>2025_09_04_22:08:56</t>
  </si>
  <si>
    <t>/Users/aliciae/projects/shortlab/TGS-Processing-Scripts/MATLAB/pi3/2025-09-04/irradiation/V44_832864_470C-09-04-2025-03.40um-470C-Fe3p-5MeV-irradiation-POS-263.txt</t>
  </si>
  <si>
    <t>2025_09_04_22:09:56</t>
  </si>
  <si>
    <t>/Users/aliciae/projects/shortlab/TGS-Processing-Scripts/MATLAB/pi3/2025-09-04/irradiation/V44_832864_470C-09-04-2025-03.40um-470C-Fe3p-5MeV-irradiation-POS-264.txt</t>
  </si>
  <si>
    <t>2025_09_04_22:10:56</t>
  </si>
  <si>
    <t>/Users/aliciae/projects/shortlab/TGS-Processing-Scripts/MATLAB/pi3/2025-09-04/irradiation/V44_832864_470C-09-04-2025-03.40um-470C-Fe3p-5MeV-irradiation-POS-265.txt</t>
  </si>
  <si>
    <t>2025_09_04_22:11:56</t>
  </si>
  <si>
    <t>/Users/aliciae/projects/shortlab/TGS-Processing-Scripts/MATLAB/pi3/2025-09-04/irradiation/V44_832864_470C-09-04-2025-03.40um-470C-Fe3p-5MeV-irradiation-POS-266.txt</t>
  </si>
  <si>
    <t>2025_09_04_22:12:56</t>
  </si>
  <si>
    <t>/Users/aliciae/projects/shortlab/TGS-Processing-Scripts/MATLAB/pi3/2025-09-04/irradiation/V44_832864_470C-09-04-2025-03.40um-470C-Fe3p-5MeV-irradiation-POS-267.txt</t>
  </si>
  <si>
    <t>2025_09_04_22:13:56</t>
  </si>
  <si>
    <t>/Users/aliciae/projects/shortlab/TGS-Processing-Scripts/MATLAB/pi3/2025-09-04/irradiation/V44_832864_470C-09-04-2025-03.40um-470C-Fe3p-5MeV-irradiation-POS-268.txt</t>
  </si>
  <si>
    <t>2025_09_04_22:14:56</t>
  </si>
  <si>
    <t>/Users/aliciae/projects/shortlab/TGS-Processing-Scripts/MATLAB/pi3/2025-09-04/irradiation/V44_832864_470C-09-04-2025-03.40um-470C-Fe3p-5MeV-irradiation-POS-269.txt</t>
  </si>
  <si>
    <t>2025_09_04_22:15:56</t>
  </si>
  <si>
    <t>/Users/aliciae/projects/shortlab/TGS-Processing-Scripts/MATLAB/pi3/2025-09-04/irradiation/V44_832864_470C-09-04-2025-03.40um-470C-Fe3p-5MeV-irradiation-POS-270.txt</t>
  </si>
  <si>
    <t>2025_09_04_22:16:57</t>
  </si>
  <si>
    <t>/Users/aliciae/projects/shortlab/TGS-Processing-Scripts/MATLAB/pi3/2025-09-04/irradiation/V44_832864_470C-09-04-2025-03.40um-470C-Fe3p-5MeV-irradiation-POS-271.txt</t>
  </si>
  <si>
    <t>2025_09_04_22:17:57</t>
  </si>
  <si>
    <t>/Users/aliciae/projects/shortlab/TGS-Processing-Scripts/MATLAB/pi3/2025-09-04/irradiation/V44_832864_470C-09-04-2025-03.40um-470C-Fe3p-5MeV-irradiation-POS-272.txt</t>
  </si>
  <si>
    <t>2025_09_04_22:18:57</t>
  </si>
  <si>
    <t>/Users/aliciae/projects/shortlab/TGS-Processing-Scripts/MATLAB/pi3/2025-09-04/irradiation/V44_832864_470C-09-04-2025-03.40um-470C-Fe3p-5MeV-irradiation-POS-273.txt</t>
  </si>
  <si>
    <t>2025_09_04_22:19:57</t>
  </si>
  <si>
    <t>/Users/aliciae/projects/shortlab/TGS-Processing-Scripts/MATLAB/pi3/2025-09-04/irradiation/V44_832864_470C-09-04-2025-03.40um-470C-Fe3p-5MeV-irradiation-POS-274.txt</t>
  </si>
  <si>
    <t>2025_09_04_22:20:58</t>
  </si>
  <si>
    <t>/Users/aliciae/projects/shortlab/TGS-Processing-Scripts/MATLAB/pi3/2025-09-04/irradiation/V44_832864_470C-09-04-2025-03.40um-470C-Fe3p-5MeV-irradiation-POS-275.txt</t>
  </si>
  <si>
    <t>2025_09_04_22:21:57</t>
  </si>
  <si>
    <t>/Users/aliciae/projects/shortlab/TGS-Processing-Scripts/MATLAB/pi3/2025-09-04/irradiation/V44_832864_470C-09-04-2025-03.40um-470C-Fe3p-5MeV-irradiation-POS-276.txt</t>
  </si>
  <si>
    <t>2025_09_04_22:22:58</t>
  </si>
  <si>
    <t>/Users/aliciae/projects/shortlab/TGS-Processing-Scripts/MATLAB/pi3/2025-09-04/irradiation/V44_832864_470C-09-04-2025-03.40um-470C-Fe3p-5MeV-irradiation-POS-277.txt</t>
  </si>
  <si>
    <t>2025_09_04_22:23:58</t>
  </si>
  <si>
    <t>/Users/aliciae/projects/shortlab/TGS-Processing-Scripts/MATLAB/pi3/2025-09-04/irradiation/V44_832864_470C-09-04-2025-03.40um-470C-Fe3p-5MeV-irradiation-POS-278.txt</t>
  </si>
  <si>
    <t>2025_09_04_22:24:58</t>
  </si>
  <si>
    <t>/Users/aliciae/projects/shortlab/TGS-Processing-Scripts/MATLAB/pi3/2025-09-04/irradiation/V44_832864_470C-09-04-2025-03.40um-470C-Fe3p-5MeV-irradiation-POS-279.txt</t>
  </si>
  <si>
    <t>2025_09_04_22:25:59</t>
  </si>
  <si>
    <t>/Users/aliciae/projects/shortlab/TGS-Processing-Scripts/MATLAB/pi3/2025-09-04/irradiation/V44_832864_470C-09-04-2025-03.40um-470C-Fe3p-5MeV-irradiation-POS-280.txt</t>
  </si>
  <si>
    <t>2025_09_04_22:26:58</t>
  </si>
  <si>
    <t>/Users/aliciae/projects/shortlab/TGS-Processing-Scripts/MATLAB/pi3/2025-09-04/irradiation/V44_832864_470C-09-04-2025-03.40um-470C-Fe3p-5MeV-irradiation-POS-281.txt</t>
  </si>
  <si>
    <t>2025_09_04_22:27:59</t>
  </si>
  <si>
    <t>/Users/aliciae/projects/shortlab/TGS-Processing-Scripts/MATLAB/pi3/2025-09-04/irradiation/V44_832864_470C-09-04-2025-03.40um-470C-Fe3p-5MeV-irradiation-POS-282.txt</t>
  </si>
  <si>
    <t>2025_09_04_22:28:58</t>
  </si>
  <si>
    <t>/Users/aliciae/projects/shortlab/TGS-Processing-Scripts/MATLAB/pi3/2025-09-04/irradiation/V44_832864_470C-09-04-2025-03.40um-470C-Fe3p-5MeV-irradiation-POS-283.txt</t>
  </si>
  <si>
    <t>2025_09_04_22:29:59</t>
  </si>
  <si>
    <t>/Users/aliciae/projects/shortlab/TGS-Processing-Scripts/MATLAB/pi3/2025-09-04/irradiation/V44_832864_470C-09-04-2025-03.40um-470C-Fe3p-5MeV-irradiation-POS-284.txt</t>
  </si>
  <si>
    <t>2025_09_04_22:30:59</t>
  </si>
  <si>
    <t>/Users/aliciae/projects/shortlab/TGS-Processing-Scripts/MATLAB/pi3/2025-09-04/irradiation/V44_832864_470C-09-04-2025-03.40um-470C-Fe3p-5MeV-irradiation-POS-285.txt</t>
  </si>
  <si>
    <t>2025_09_04_22:31:59</t>
  </si>
  <si>
    <t>/Users/aliciae/projects/shortlab/TGS-Processing-Scripts/MATLAB/pi3/2025-09-04/irradiation/V44_832864_470C-09-04-2025-03.40um-470C-Fe3p-5MeV-irradiation-POS-286.txt</t>
  </si>
  <si>
    <t>2025_09_04_22:32:59</t>
  </si>
  <si>
    <t>/Users/aliciae/projects/shortlab/TGS-Processing-Scripts/MATLAB/pi3/2025-09-04/irradiation/V44_832864_470C-09-04-2025-03.40um-470C-Fe3p-5MeV-irradiation-POS-287.txt</t>
  </si>
  <si>
    <t>2025_09_04_22:34:00</t>
  </si>
  <si>
    <t>/Users/aliciae/projects/shortlab/TGS-Processing-Scripts/MATLAB/pi3/2025-09-04/irradiation/V44_832864_470C-09-04-2025-03.40um-470C-Fe3p-5MeV-irradiation-POS-288.txt</t>
  </si>
  <si>
    <t>2025_09_04_22:34:59</t>
  </si>
  <si>
    <t>/Users/aliciae/projects/shortlab/TGS-Processing-Scripts/MATLAB/pi3/2025-09-04/irradiation/V44_832864_470C-09-04-2025-03.40um-470C-Fe3p-5MeV-irradiation-POS-289.txt</t>
  </si>
  <si>
    <t>2025_09_04_22:36:00</t>
  </si>
  <si>
    <t>/Users/aliciae/projects/shortlab/TGS-Processing-Scripts/MATLAB/pi3/2025-09-04/irradiation/V44_832864_470C-09-04-2025-03.40um-470C-Fe3p-5MeV-irradiation-POS-290.txt</t>
  </si>
  <si>
    <t>2025_09_04_22:37:00</t>
  </si>
  <si>
    <t>/Users/aliciae/projects/shortlab/TGS-Processing-Scripts/MATLAB/pi3/2025-09-04/irradiation/V44_832864_470C-09-04-2025-03.40um-470C-Fe3p-5MeV-irradiation-POS-291.txt</t>
  </si>
  <si>
    <t>2025_09_04_22:38:00</t>
  </si>
  <si>
    <t>/Users/aliciae/projects/shortlab/TGS-Processing-Scripts/MATLAB/pi3/2025-09-04/irradiation/V44_832864_470C-09-04-2025-03.40um-470C-Fe3p-5MeV-irradiation-POS-292.txt</t>
  </si>
  <si>
    <t>2025_09_04_22:39:00</t>
  </si>
  <si>
    <t>/Users/aliciae/projects/shortlab/TGS-Processing-Scripts/MATLAB/pi3/2025-09-04/irradiation/V44_832864_470C-09-04-2025-03.40um-470C-Fe3p-5MeV-irradiation-POS-293.txt</t>
  </si>
  <si>
    <t>2025_09_04_22:40:00</t>
  </si>
  <si>
    <t>/Users/aliciae/projects/shortlab/TGS-Processing-Scripts/MATLAB/pi3/2025-09-04/irradiation/V44_832864_470C-09-04-2025-03.40um-470C-Fe3p-5MeV-irradiation-POS-294.txt</t>
  </si>
  <si>
    <t>2025_09_04_22:41:00</t>
  </si>
  <si>
    <t>/Users/aliciae/projects/shortlab/TGS-Processing-Scripts/MATLAB/pi3/2025-09-04/irradiation/V44_832864_470C-09-04-2025-03.40um-470C-Fe3p-5MeV-irradiation-POS-295.txt</t>
  </si>
  <si>
    <t>2025_09_04_22:42:01</t>
  </si>
  <si>
    <t>/Users/aliciae/projects/shortlab/TGS-Processing-Scripts/MATLAB/pi3/2025-09-04/irradiation/V44_832864_470C-09-04-2025-03.40um-470C-Fe3p-5MeV-irradiation-POS-296.txt</t>
  </si>
  <si>
    <t>2025_09_04_22:43:01</t>
  </si>
  <si>
    <t>/Users/aliciae/projects/shortlab/TGS-Processing-Scripts/MATLAB/pi3/2025-09-04/irradiation/V44_832864_470C-09-04-2025-03.40um-470C-Fe3p-5MeV-irradiation-POS-297.txt</t>
  </si>
  <si>
    <t>2025_09_04_22:44:01</t>
  </si>
  <si>
    <t>/Users/aliciae/projects/shortlab/TGS-Processing-Scripts/MATLAB/pi3/2025-09-04/irradiation/V44_832864_470C-09-04-2025-03.40um-470C-Fe3p-5MeV-irradiation-POS-298.txt</t>
  </si>
  <si>
    <t>2025_09_04_22:45:01</t>
  </si>
  <si>
    <t>/Users/aliciae/projects/shortlab/TGS-Processing-Scripts/MATLAB/pi3/2025-09-04/irradiation/V44_832864_470C-09-04-2025-03.40um-470C-Fe3p-5MeV-irradiation-POS-299.txt</t>
  </si>
  <si>
    <t>2025_09_04_22:46:01</t>
  </si>
  <si>
    <t>/Users/aliciae/projects/shortlab/TGS-Processing-Scripts/MATLAB/pi3/2025-09-04/irradiation/V44_832864_470C-09-04-2025-03.40um-470C-Fe3p-5MeV-irradiation-POS-300.txt</t>
  </si>
  <si>
    <t>2025_09_04_22:47:02</t>
  </si>
  <si>
    <t>/Users/aliciae/projects/shortlab/TGS-Processing-Scripts/MATLAB/pi3/2025-09-04/irradiation/V44_832864_470C-09-04-2025-03.40um-470C-Fe3p-5MeV-irradiation-POS-301.txt</t>
  </si>
  <si>
    <t>2025_09_04_22:48:02</t>
  </si>
  <si>
    <t>/Users/aliciae/projects/shortlab/TGS-Processing-Scripts/MATLAB/pi3/2025-09-04/irradiation/V44_832864_470C-09-04-2025-03.40um-470C-Fe3p-5MeV-irradiation-POS-302.txt</t>
  </si>
  <si>
    <t>2025_09_04_22:49:02</t>
  </si>
  <si>
    <t>/Users/aliciae/projects/shortlab/TGS-Processing-Scripts/MATLAB/pi3/2025-09-04/irradiation/V44_832864_470C-09-04-2025-03.40um-470C-Fe3p-5MeV-irradiation-POS-303.txt</t>
  </si>
  <si>
    <t>2025_09_04_22:50:02</t>
  </si>
  <si>
    <t>/Users/aliciae/projects/shortlab/TGS-Processing-Scripts/MATLAB/pi3/2025-09-04/irradiation/V44_832864_470C-09-04-2025-03.40um-470C-Fe3p-5MeV-irradiation-POS-304.txt</t>
  </si>
  <si>
    <t>2025_09_04_22:51:02</t>
  </si>
  <si>
    <t>/Users/aliciae/projects/shortlab/TGS-Processing-Scripts/MATLAB/pi3/2025-09-04/irradiation/V44_832864_470C-09-04-2025-03.40um-470C-Fe3p-5MeV-irradiation-POS-305.txt</t>
  </si>
  <si>
    <t>2025_09_04_22:52:02</t>
  </si>
  <si>
    <t>/Users/aliciae/projects/shortlab/TGS-Processing-Scripts/MATLAB/pi3/2025-09-04/irradiation/V44_832864_470C-09-04-2025-03.40um-470C-Fe3p-5MeV-irradiation-POS-306.txt</t>
  </si>
  <si>
    <t>2025_09_04_22:53:02</t>
  </si>
  <si>
    <t>/Users/aliciae/projects/shortlab/TGS-Processing-Scripts/MATLAB/pi3/2025-09-04/irradiation/V44_832864_470C-09-04-2025-03.40um-470C-Fe3p-5MeV-irradiation-POS-307.txt</t>
  </si>
  <si>
    <t>2025_09_04_22:54:03</t>
  </si>
  <si>
    <t>/Users/aliciae/projects/shortlab/TGS-Processing-Scripts/MATLAB/pi3/2025-09-04/irradiation/V44_832864_470C-09-04-2025-03.40um-470C-Fe3p-5MeV-irradiation-POS-308.txt</t>
  </si>
  <si>
    <t>2025_09_04_22:55:03</t>
  </si>
  <si>
    <t>/Users/aliciae/projects/shortlab/TGS-Processing-Scripts/MATLAB/pi3/2025-09-04/irradiation/V44_832864_470C-09-04-2025-03.40um-470C-Fe3p-5MeV-irradiation-POS-309.txt</t>
  </si>
  <si>
    <t>2025_09_04_22:56:03</t>
  </si>
  <si>
    <t>/Users/aliciae/projects/shortlab/TGS-Processing-Scripts/MATLAB/pi3/2025-09-04/irradiation/V44_832864_470C-09-04-2025-03.40um-470C-Fe3p-5MeV-irradiation-POS-310.txt</t>
  </si>
  <si>
    <t>2025_09_04_22:57:03</t>
  </si>
  <si>
    <t>/Users/aliciae/projects/shortlab/TGS-Processing-Scripts/MATLAB/pi3/2025-09-04/irradiation/V44_832864_470C-09-04-2025-03.40um-470C-Fe3p-5MeV-irradiation-POS-311.txt</t>
  </si>
  <si>
    <t>2025_09_04_22:58:03</t>
  </si>
  <si>
    <t>/Users/aliciae/projects/shortlab/TGS-Processing-Scripts/MATLAB/pi3/2025-09-04/irradiation/V44_832864_470C-09-04-2025-03.40um-470C-Fe3p-5MeV-irradiation-POS-312.txt</t>
  </si>
  <si>
    <t>2025_09_04_22:59:04</t>
  </si>
  <si>
    <t>/Users/aliciae/projects/shortlab/TGS-Processing-Scripts/MATLAB/pi3/2025-09-04/irradiation/V44_832864_470C-09-04-2025-03.40um-470C-Fe3p-5MeV-irradiation-POS-313.txt</t>
  </si>
  <si>
    <t>2025_09_04_23:00:04</t>
  </si>
  <si>
    <t>/Users/aliciae/projects/shortlab/TGS-Processing-Scripts/MATLAB/pi3/2025-09-04/irradiation/V44_832864_470C-09-04-2025-03.40um-470C-Fe3p-5MeV-irradiation-POS-314.txt</t>
  </si>
  <si>
    <t>2025_09_04_23:01:03</t>
  </si>
  <si>
    <t>/Users/aliciae/projects/shortlab/TGS-Processing-Scripts/MATLAB/pi3/2025-09-04/irradiation/V44_832864_470C-09-04-2025-03.40um-470C-Fe3p-5MeV-irradiation-POS-315.txt</t>
  </si>
  <si>
    <t>2025_09_04_23:02:04</t>
  </si>
  <si>
    <t>/Users/aliciae/projects/shortlab/TGS-Processing-Scripts/MATLAB/pi3/2025-09-04/irradiation/V44_832864_470C-09-04-2025-03.40um-470C-Fe3p-5MeV-irradiation-POS-316.txt</t>
  </si>
  <si>
    <t>2025_09_04_23:03:04</t>
  </si>
  <si>
    <t>/Users/aliciae/projects/shortlab/TGS-Processing-Scripts/MATLAB/pi3/2025-09-04/irradiation/V44_832864_470C-09-04-2025-03.40um-470C-Fe3p-5MeV-irradiation-POS-317.txt</t>
  </si>
  <si>
    <t>2025_09_04_23:04:04</t>
  </si>
  <si>
    <t>/Users/aliciae/projects/shortlab/TGS-Processing-Scripts/MATLAB/pi3/2025-09-04/irradiation/V44_832864_470C-09-04-2025-03.40um-470C-Fe3p-5MeV-irradiation-POS-318.txt</t>
  </si>
  <si>
    <t>2025_09_04_23:05:04</t>
  </si>
  <si>
    <t>/Users/aliciae/projects/shortlab/TGS-Processing-Scripts/MATLAB/pi3/2025-09-04/irradiation/V44_832864_470C-09-04-2025-03.40um-470C-Fe3p-5MeV-irradiation-POS-319.txt</t>
  </si>
  <si>
    <t>2025_09_04_23:06:04</t>
  </si>
  <si>
    <t>/Users/aliciae/projects/shortlab/TGS-Processing-Scripts/MATLAB/pi3/2025-09-04/irradiation/V44_832864_470C-09-04-2025-03.40um-470C-Fe3p-5MeV-irradiation-POS-320.txt</t>
  </si>
  <si>
    <t>2025_09_04_23:07:04</t>
  </si>
  <si>
    <t>/Users/aliciae/projects/shortlab/TGS-Processing-Scripts/MATLAB/pi3/2025-09-04/irradiation/V44_832864_470C-09-04-2025-03.40um-470C-Fe3p-5MeV-irradiation-POS-321.txt</t>
  </si>
  <si>
    <t>2025_09_04_23:08:05</t>
  </si>
  <si>
    <t>/Users/aliciae/projects/shortlab/TGS-Processing-Scripts/MATLAB/pi3/2025-09-04/irradiation/V44_832864_470C-09-04-2025-03.40um-470C-Fe3p-5MeV-irradiation-POS-322.txt</t>
  </si>
  <si>
    <t>2025_09_04_23:09:05</t>
  </si>
  <si>
    <t>/Users/aliciae/projects/shortlab/TGS-Processing-Scripts/MATLAB/pi3/2025-09-04/irradiation/V44_832864_470C-09-04-2025-03.40um-470C-Fe3p-5MeV-irradiation-POS-323.txt</t>
  </si>
  <si>
    <t>2025_09_04_23:10:05</t>
  </si>
  <si>
    <t>/Users/aliciae/projects/shortlab/TGS-Processing-Scripts/MATLAB/pi3/2025-09-04/irradiation/V44_832864_470C-09-04-2025-03.40um-470C-Fe3p-5MeV-irradiation-POS-324.txt</t>
  </si>
  <si>
    <t>2025_09_04_23:11:05</t>
  </si>
  <si>
    <t>/Users/aliciae/projects/shortlab/TGS-Processing-Scripts/MATLAB/pi3/2025-09-04/irradiation/V44_832864_470C-09-04-2025-03.40um-470C-Fe3p-5MeV-irradiation-POS-325.txt</t>
  </si>
  <si>
    <t>2025_09_04_23:12:06</t>
  </si>
  <si>
    <t>/Users/aliciae/projects/shortlab/TGS-Processing-Scripts/MATLAB/pi3/2025-09-04/irradiation/V44_832864_470C-09-04-2025-03.40um-470C-Fe3p-5MeV-irradiation-POS-326.txt</t>
  </si>
  <si>
    <t>2025_09_04_23:13:06</t>
  </si>
  <si>
    <t>/Users/aliciae/projects/shortlab/TGS-Processing-Scripts/MATLAB/pi3/2025-09-04/irradiation/V44_832864_470C-09-04-2025-03.40um-470C-Fe3p-5MeV-irradiation-POS-327.txt</t>
  </si>
  <si>
    <t>2025_09_04_23:14:06</t>
  </si>
  <si>
    <t>/Users/aliciae/projects/shortlab/TGS-Processing-Scripts/MATLAB/pi3/2025-09-04/irradiation/V44_832864_470C-09-04-2025-03.40um-470C-Fe3p-5MeV-irradiation-POS-328.txt</t>
  </si>
  <si>
    <t>2025_09_04_23:15:06</t>
  </si>
  <si>
    <t>/Users/aliciae/projects/shortlab/TGS-Processing-Scripts/MATLAB/pi3/2025-09-04/irradiation/V44_832864_470C-09-04-2025-03.40um-470C-Fe3p-5MeV-irradiation-POS-329.txt</t>
  </si>
  <si>
    <t>2025_09_04_23:16:06</t>
  </si>
  <si>
    <t>/Users/aliciae/projects/shortlab/TGS-Processing-Scripts/MATLAB/pi3/2025-09-04/irradiation/V44_832864_470C-09-04-2025-03.40um-470C-Fe3p-5MeV-irradiation-POS-330.txt</t>
  </si>
  <si>
    <t>2025_09_04_23:17:06</t>
  </si>
  <si>
    <t>/Users/aliciae/projects/shortlab/TGS-Processing-Scripts/MATLAB/pi3/2025-09-04/irradiation/V44_832864_470C-09-04-2025-03.40um-470C-Fe3p-5MeV-irradiation-POS-331.txt</t>
  </si>
  <si>
    <t>2025_09_04_23:18:06</t>
  </si>
  <si>
    <t>/Users/aliciae/projects/shortlab/TGS-Processing-Scripts/MATLAB/pi3/2025-09-04/irradiation/V44_832864_470C-09-04-2025-03.40um-470C-Fe3p-5MeV-irradiation-POS-332.txt</t>
  </si>
  <si>
    <t>2025_09_04_23:19:06</t>
  </si>
  <si>
    <t>/Users/aliciae/projects/shortlab/TGS-Processing-Scripts/MATLAB/pi3/2025-09-04/irradiation/V44_832864_470C-09-04-2025-03.40um-470C-Fe3p-5MeV-irradiation-POS-333.txt</t>
  </si>
  <si>
    <t>2025_09_04_23:20:06</t>
  </si>
  <si>
    <t>/Users/aliciae/projects/shortlab/TGS-Processing-Scripts/MATLAB/pi3/2025-09-04/irradiation/V44_832864_470C-09-04-2025-03.40um-470C-Fe3p-5MeV-irradiation-POS-334.txt</t>
  </si>
  <si>
    <t>2025_09_04_23:21:06</t>
  </si>
  <si>
    <t>/Users/aliciae/projects/shortlab/TGS-Processing-Scripts/MATLAB/pi3/2025-09-04/irradiation/V44_832864_470C-09-04-2025-03.40um-470C-Fe3p-5MeV-irradiation-POS-335.txt</t>
  </si>
  <si>
    <t>2025_09_04_23:22:07</t>
  </si>
  <si>
    <t>/Users/aliciae/projects/shortlab/TGS-Processing-Scripts/MATLAB/pi3/2025-09-04/irradiation/V44_832864_470C-09-04-2025-03.40um-470C-Fe3p-5MeV-irradiation-POS-336.txt</t>
  </si>
  <si>
    <t>2025_09_04_23:23:07</t>
  </si>
  <si>
    <t>time</t>
  </si>
  <si>
    <t>current</t>
  </si>
  <si>
    <t>dpa/hr</t>
  </si>
  <si>
    <t>total dpa</t>
  </si>
  <si>
    <t>total time</t>
  </si>
  <si>
    <t>time (s)</t>
  </si>
  <si>
    <t>dt (s)</t>
  </si>
  <si>
    <t>dpa/s</t>
  </si>
  <si>
    <t>avg curr</t>
  </si>
  <si>
    <t>Depth</t>
  </si>
  <si>
    <t>Vacancies by Ion</t>
  </si>
  <si>
    <t>Vacancies by recoil</t>
  </si>
  <si>
    <t xml:space="preserve">&lt;--- Load in SRIM VACANCY.txt data to </t>
  </si>
  <si>
    <t>Depth um</t>
  </si>
  <si>
    <t>Total Vacs</t>
  </si>
  <si>
    <t>Dpa</t>
  </si>
  <si>
    <t>Averaging column</t>
  </si>
  <si>
    <t>Thermal probe</t>
  </si>
  <si>
    <t>Elastic probe</t>
  </si>
  <si>
    <t>Probe-weighted</t>
  </si>
  <si>
    <t>Angstrom</t>
  </si>
  <si>
    <t>&lt;--- left and edit    green    inputs as required</t>
  </si>
  <si>
    <t>for thermal</t>
  </si>
  <si>
    <t>for elastic</t>
  </si>
  <si>
    <t>for damage</t>
  </si>
  <si>
    <t>exponential</t>
  </si>
  <si>
    <t>average dpa thermal</t>
  </si>
  <si>
    <t>average dpa elastic</t>
  </si>
  <si>
    <t>hrs</t>
  </si>
  <si>
    <t>Beam parameters</t>
  </si>
  <si>
    <t>Average current</t>
  </si>
  <si>
    <t>nA</t>
  </si>
  <si>
    <t>Time of irradiation</t>
  </si>
  <si>
    <t>seconds</t>
  </si>
  <si>
    <t>Total incident charge</t>
  </si>
  <si>
    <t>C</t>
  </si>
  <si>
    <t>Ion charge</t>
  </si>
  <si>
    <t>e</t>
  </si>
  <si>
    <t>Total number of ions</t>
  </si>
  <si>
    <t>ions</t>
  </si>
  <si>
    <t>Beam aperture (2, 4 or 1 mm on DIONISOS beamline)</t>
  </si>
  <si>
    <t>mm</t>
  </si>
  <si>
    <t>Area of irradiation</t>
  </si>
  <si>
    <t>m^2</t>
  </si>
  <si>
    <t>Fluence</t>
  </si>
  <si>
    <t>ions/m^2</t>
  </si>
  <si>
    <t>Fluence in ions/cm^2</t>
  </si>
  <si>
    <t>ions/cm^2</t>
  </si>
  <si>
    <t>Target parameters</t>
  </si>
  <si>
    <t>mass density</t>
  </si>
  <si>
    <t>g/cm^3</t>
  </si>
  <si>
    <t>atomic mass</t>
  </si>
  <si>
    <t>amu</t>
  </si>
  <si>
    <t>Avogadro's constant</t>
  </si>
  <si>
    <t>atomic density</t>
  </si>
  <si>
    <t>cm^-3</t>
  </si>
  <si>
    <t>TGS parameters</t>
  </si>
  <si>
    <t>Grating spacing (Λ)</t>
  </si>
  <si>
    <t>um</t>
  </si>
  <si>
    <t>Thermal probe depth</t>
  </si>
  <si>
    <t>Elastic probe depth</t>
  </si>
  <si>
    <t>Dpa results</t>
  </si>
  <si>
    <t>Average dpa over thermal probe region (Λ/π)</t>
  </si>
  <si>
    <t>dpa</t>
  </si>
  <si>
    <t>Average dpa over elastic probe region (Λ)</t>
  </si>
  <si>
    <t>Weighted dpa average over thermal probe region (Λ/π)</t>
  </si>
  <si>
    <t>Weighted dpa average over elastic probe region (Λ)</t>
  </si>
  <si>
    <t>Average dpa over damaged region</t>
  </si>
  <si>
    <t>Plotting characteristic depths</t>
  </si>
  <si>
    <t>current x time</t>
  </si>
  <si>
    <t>nA*sec</t>
  </si>
  <si>
    <t>avg</t>
  </si>
  <si>
    <t>avg curr per sec</t>
  </si>
  <si>
    <t>avg dpa</t>
  </si>
  <si>
    <t>elastic dpa</t>
  </si>
  <si>
    <t>thermal</t>
  </si>
  <si>
    <t>TOTAL</t>
  </si>
  <si>
    <t>dpa/s elastix</t>
  </si>
  <si>
    <t>dpa/s avg</t>
  </si>
  <si>
    <t>dpa/hr avg</t>
  </si>
  <si>
    <t>hr</t>
  </si>
  <si>
    <t>START</t>
  </si>
  <si>
    <t>Beam off</t>
  </si>
  <si>
    <t>dpa/min avg</t>
  </si>
  <si>
    <t>beam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</si>
</sst>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2"/>
      <color theme="1"/>
      <name val="Aptos Narrow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38">
    <xf numFmtId="0" fontId="0" fillId="0" borderId="0" xfId="0"/>
    <xf numFmtId="11" fontId="0" fillId="0" borderId="0" xfId="0" applyNumberFormat="1"/>
    <xf numFmtId="20" fontId="0" fillId="0" borderId="0" xfId="0" applyNumberFormat="1"/>
    <xf numFmtId="2" fontId="0" fillId="0" borderId="0" xfId="0" applyNumberFormat="1"/>
    <xf numFmtId="1" fontId="0" fillId="0" borderId="0" xfId="0" applyNumberFormat="1"/>
    <xf numFmtId="0" fontId="18" fillId="0" borderId="0" xfId="42"/>
    <xf numFmtId="0" fontId="19" fillId="0" borderId="0" xfId="42" applyFont="1" applyAlignment="1">
      <alignment wrapText="1"/>
    </xf>
    <xf numFmtId="2" fontId="18" fillId="0" borderId="0" xfId="42" applyNumberFormat="1"/>
    <xf numFmtId="0" fontId="19" fillId="0" borderId="0" xfId="42" applyFont="1"/>
    <xf numFmtId="11" fontId="18" fillId="0" borderId="0" xfId="42" applyNumberFormat="1"/>
    <xf numFmtId="11" fontId="18" fillId="33" borderId="0" xfId="42" applyNumberFormat="1" applyFill="1"/>
    <xf numFmtId="1" fontId="18" fillId="33" borderId="0" xfId="42" applyNumberFormat="1" applyFill="1"/>
    <xf numFmtId="0" fontId="18" fillId="33" borderId="0" xfId="42" applyFill="1"/>
    <xf numFmtId="2" fontId="18" fillId="33" borderId="0" xfId="42" applyNumberFormat="1" applyFill="1"/>
    <xf numFmtId="0" fontId="18" fillId="0" borderId="10" xfId="42" applyBorder="1"/>
    <xf numFmtId="2" fontId="18" fillId="0" borderId="11" xfId="42" applyNumberFormat="1" applyBorder="1"/>
    <xf numFmtId="0" fontId="18" fillId="0" borderId="12" xfId="42" applyBorder="1"/>
    <xf numFmtId="0" fontId="18" fillId="0" borderId="13" xfId="42" applyBorder="1" applyAlignment="1">
      <alignment wrapText="1"/>
    </xf>
    <xf numFmtId="0" fontId="18" fillId="0" borderId="14" xfId="42" applyBorder="1"/>
    <xf numFmtId="0" fontId="18" fillId="0" borderId="13" xfId="42" applyBorder="1"/>
    <xf numFmtId="0" fontId="18" fillId="0" borderId="15" xfId="42" applyBorder="1"/>
    <xf numFmtId="2" fontId="18" fillId="0" borderId="16" xfId="42" applyNumberFormat="1" applyBorder="1"/>
    <xf numFmtId="0" fontId="18" fillId="0" borderId="17" xfId="42" applyBorder="1"/>
    <xf numFmtId="0" fontId="0" fillId="0" borderId="18" xfId="0" applyBorder="1"/>
    <xf numFmtId="0" fontId="18" fillId="0" borderId="18" xfId="42" applyBorder="1"/>
    <xf numFmtId="0" fontId="18" fillId="0" borderId="0" xfId="42" applyBorder="1"/>
    <xf numFmtId="0" fontId="20" fillId="0" borderId="0" xfId="42" applyFont="1"/>
    <xf numFmtId="0" fontId="21" fillId="0" borderId="0" xfId="0" applyFont="1"/>
    <xf numFmtId="0" fontId="20" fillId="0" borderId="0" xfId="42" applyFont="1" applyFill="1"/>
    <xf numFmtId="0" fontId="21" fillId="0" borderId="18" xfId="0" applyFont="1" applyBorder="1"/>
    <xf numFmtId="0" fontId="0" fillId="34" borderId="0" xfId="0" applyFill="1"/>
    <xf numFmtId="20" fontId="0" fillId="34" borderId="0" xfId="0" applyNumberFormat="1" applyFill="1"/>
    <xf numFmtId="11" fontId="0" fillId="34" borderId="0" xfId="0" applyNumberFormat="1" applyFill="1"/>
    <xf numFmtId="11" fontId="18" fillId="34" borderId="0" xfId="42" applyNumberFormat="1" applyFill="1"/>
    <xf numFmtId="11" fontId="18" fillId="0" borderId="0" xfId="42" applyNumberFormat="1" applyFill="1"/>
    <xf numFmtId="0" fontId="18" fillId="35" borderId="0" xfId="42" applyFill="1"/>
    <xf numFmtId="2" fontId="21" fillId="0" borderId="0" xfId="0" applyNumberFormat="1" applyFont="1" applyFill="1"/>
    <xf numFmtId="2" fontId="0" fillId="0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FFD49C6A-D12E-3F4C-9F42-4837DFBC5366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Dpa Against Depth for TGS </a:t>
            </a:r>
          </a:p>
        </c:rich>
      </c:tx>
      <c:layout>
        <c:manualLayout>
          <c:xMode val="edge"/>
          <c:yMode val="edge"/>
          <c:x val="0.40953446923486264"/>
          <c:y val="2.092822315196234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Dpa</c:v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diamond"/>
            <c:size val="6"/>
            <c:spPr>
              <a:solidFill>
                <a:schemeClr val="bg1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dpa_conversion!$G$18:$G$117</c:f>
              <c:numCache>
                <c:formatCode>0.00</c:formatCode>
                <c:ptCount val="100"/>
                <c:pt idx="0">
                  <c:v>2.0000999999999998E-2</c:v>
                </c:pt>
                <c:pt idx="1">
                  <c:v>4.0001000000000002E-2</c:v>
                </c:pt>
                <c:pt idx="2">
                  <c:v>6.0000999999999999E-2</c:v>
                </c:pt>
                <c:pt idx="3">
                  <c:v>8.0001000000000003E-2</c:v>
                </c:pt>
                <c:pt idx="4">
                  <c:v>0.10000099999999999</c:v>
                </c:pt>
                <c:pt idx="5">
                  <c:v>0.120001</c:v>
                </c:pt>
                <c:pt idx="6">
                  <c:v>0.14000099999999999</c:v>
                </c:pt>
                <c:pt idx="7">
                  <c:v>0.160001</c:v>
                </c:pt>
                <c:pt idx="8">
                  <c:v>0.18000099999999999</c:v>
                </c:pt>
                <c:pt idx="9">
                  <c:v>0.20000100000000001</c:v>
                </c:pt>
                <c:pt idx="10">
                  <c:v>0.22000100000000003</c:v>
                </c:pt>
                <c:pt idx="11">
                  <c:v>0.24000100000000002</c:v>
                </c:pt>
                <c:pt idx="12">
                  <c:v>0.26000100000000004</c:v>
                </c:pt>
                <c:pt idx="13">
                  <c:v>0.280001</c:v>
                </c:pt>
                <c:pt idx="14">
                  <c:v>0.30000100000000002</c:v>
                </c:pt>
                <c:pt idx="15">
                  <c:v>0.32000100000000004</c:v>
                </c:pt>
                <c:pt idx="16">
                  <c:v>0.340001</c:v>
                </c:pt>
                <c:pt idx="17">
                  <c:v>0.36000100000000002</c:v>
                </c:pt>
                <c:pt idx="18">
                  <c:v>0.38000100000000003</c:v>
                </c:pt>
                <c:pt idx="19">
                  <c:v>0.400001</c:v>
                </c:pt>
                <c:pt idx="20">
                  <c:v>0.42000100000000001</c:v>
                </c:pt>
                <c:pt idx="21">
                  <c:v>0.44000100000000003</c:v>
                </c:pt>
                <c:pt idx="22">
                  <c:v>0.46000100000000005</c:v>
                </c:pt>
                <c:pt idx="23">
                  <c:v>0.48000100000000001</c:v>
                </c:pt>
                <c:pt idx="24">
                  <c:v>0.50000100000000003</c:v>
                </c:pt>
                <c:pt idx="25">
                  <c:v>0.52000100000000005</c:v>
                </c:pt>
                <c:pt idx="26">
                  <c:v>0.54000100000000006</c:v>
                </c:pt>
                <c:pt idx="27">
                  <c:v>0.56000099999999997</c:v>
                </c:pt>
                <c:pt idx="28">
                  <c:v>0.58000099999999999</c:v>
                </c:pt>
                <c:pt idx="29">
                  <c:v>0.60000100000000001</c:v>
                </c:pt>
                <c:pt idx="30">
                  <c:v>0.62000100000000002</c:v>
                </c:pt>
                <c:pt idx="31">
                  <c:v>0.64000100000000004</c:v>
                </c:pt>
                <c:pt idx="32">
                  <c:v>0.66000100000000006</c:v>
                </c:pt>
                <c:pt idx="33">
                  <c:v>0.68000099999999997</c:v>
                </c:pt>
                <c:pt idx="34">
                  <c:v>0.70000099999999998</c:v>
                </c:pt>
                <c:pt idx="35">
                  <c:v>0.720001</c:v>
                </c:pt>
                <c:pt idx="36">
                  <c:v>0.74000100000000002</c:v>
                </c:pt>
                <c:pt idx="37">
                  <c:v>0.76000100000000004</c:v>
                </c:pt>
                <c:pt idx="38">
                  <c:v>0.78000100000000006</c:v>
                </c:pt>
                <c:pt idx="39">
                  <c:v>0.80000100000000007</c:v>
                </c:pt>
                <c:pt idx="40">
                  <c:v>0.82000099999999998</c:v>
                </c:pt>
                <c:pt idx="41">
                  <c:v>0.840001</c:v>
                </c:pt>
                <c:pt idx="42">
                  <c:v>0.86000100000000002</c:v>
                </c:pt>
                <c:pt idx="43">
                  <c:v>0.88000100000000003</c:v>
                </c:pt>
                <c:pt idx="44">
                  <c:v>0.90000100000000005</c:v>
                </c:pt>
                <c:pt idx="45">
                  <c:v>0.92000100000000007</c:v>
                </c:pt>
                <c:pt idx="46">
                  <c:v>0.94000099999999998</c:v>
                </c:pt>
                <c:pt idx="47">
                  <c:v>0.96000099999999999</c:v>
                </c:pt>
                <c:pt idx="48">
                  <c:v>0.98000100000000001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dpa_conversion!$I$18:$I$117</c:f>
              <c:numCache>
                <c:formatCode>0.00</c:formatCode>
                <c:ptCount val="100"/>
                <c:pt idx="0">
                  <c:v>7.2035108419940597E-2</c:v>
                </c:pt>
                <c:pt idx="1">
                  <c:v>7.8430462926472905E-2</c:v>
                </c:pt>
                <c:pt idx="2">
                  <c:v>7.8732879183691665E-2</c:v>
                </c:pt>
                <c:pt idx="3">
                  <c:v>8.2281135882893139E-2</c:v>
                </c:pt>
                <c:pt idx="4">
                  <c:v>8.2857359578870915E-2</c:v>
                </c:pt>
                <c:pt idx="5">
                  <c:v>8.5634565834556337E-2</c:v>
                </c:pt>
                <c:pt idx="6">
                  <c:v>9.1141659313939596E-2</c:v>
                </c:pt>
                <c:pt idx="7">
                  <c:v>9.3905890996338115E-2</c:v>
                </c:pt>
                <c:pt idx="8">
                  <c:v>9.3714024579246741E-2</c:v>
                </c:pt>
                <c:pt idx="9">
                  <c:v>9.7756055145962792E-2</c:v>
                </c:pt>
                <c:pt idx="10">
                  <c:v>0.10070762023945584</c:v>
                </c:pt>
                <c:pt idx="11">
                  <c:v>0.1035178758092714</c:v>
                </c:pt>
                <c:pt idx="12">
                  <c:v>0.10494699846010638</c:v>
                </c:pt>
                <c:pt idx="13">
                  <c:v>0.10692986479758783</c:v>
                </c:pt>
                <c:pt idx="14">
                  <c:v>0.11100353389595541</c:v>
                </c:pt>
                <c:pt idx="15">
                  <c:v>0.11420092205445136</c:v>
                </c:pt>
                <c:pt idx="16">
                  <c:v>0.11998112914514514</c:v>
                </c:pt>
                <c:pt idx="17">
                  <c:v>0.12318675072269661</c:v>
                </c:pt>
                <c:pt idx="18">
                  <c:v>0.12483503033693057</c:v>
                </c:pt>
                <c:pt idx="19">
                  <c:v>0.13317890672224367</c:v>
                </c:pt>
                <c:pt idx="20">
                  <c:v>0.13310071236879795</c:v>
                </c:pt>
                <c:pt idx="21">
                  <c:v>0.13937911069509504</c:v>
                </c:pt>
                <c:pt idx="22">
                  <c:v>0.14480604397659516</c:v>
                </c:pt>
                <c:pt idx="23">
                  <c:v>0.15093360421558874</c:v>
                </c:pt>
                <c:pt idx="24">
                  <c:v>0.15676751355079632</c:v>
                </c:pt>
                <c:pt idx="25">
                  <c:v>0.15988682299375459</c:v>
                </c:pt>
                <c:pt idx="26">
                  <c:v>0.16612396171444771</c:v>
                </c:pt>
                <c:pt idx="27">
                  <c:v>0.17429313234822894</c:v>
                </c:pt>
                <c:pt idx="28">
                  <c:v>0.17906201654999171</c:v>
                </c:pt>
                <c:pt idx="29">
                  <c:v>0.18636304715263036</c:v>
                </c:pt>
                <c:pt idx="30">
                  <c:v>0.19119675796566449</c:v>
                </c:pt>
                <c:pt idx="31">
                  <c:v>0.19524080063198121</c:v>
                </c:pt>
                <c:pt idx="32">
                  <c:v>0.20774699413599829</c:v>
                </c:pt>
                <c:pt idx="33">
                  <c:v>0.20966140283189461</c:v>
                </c:pt>
                <c:pt idx="34">
                  <c:v>0.21874154577797236</c:v>
                </c:pt>
                <c:pt idx="35">
                  <c:v>0.22515179444706579</c:v>
                </c:pt>
                <c:pt idx="36">
                  <c:v>0.23285542999048628</c:v>
                </c:pt>
                <c:pt idx="37">
                  <c:v>0.23981690143982995</c:v>
                </c:pt>
                <c:pt idx="38">
                  <c:v>0.24094057812025443</c:v>
                </c:pt>
                <c:pt idx="39">
                  <c:v>0.25010613122524233</c:v>
                </c:pt>
                <c:pt idx="40">
                  <c:v>0.25561648569363349</c:v>
                </c:pt>
                <c:pt idx="41">
                  <c:v>0.26054890502500738</c:v>
                </c:pt>
                <c:pt idx="42">
                  <c:v>0.26649373424164813</c:v>
                </c:pt>
                <c:pt idx="43">
                  <c:v>0.27016845255712924</c:v>
                </c:pt>
                <c:pt idx="44">
                  <c:v>0.26992225945082043</c:v>
                </c:pt>
                <c:pt idx="45">
                  <c:v>0.27494020457901253</c:v>
                </c:pt>
                <c:pt idx="46">
                  <c:v>0.27355678202945183</c:v>
                </c:pt>
                <c:pt idx="47">
                  <c:v>0.27793543454659769</c:v>
                </c:pt>
                <c:pt idx="48">
                  <c:v>0.27509289287284533</c:v>
                </c:pt>
                <c:pt idx="49">
                  <c:v>0.27506812323293395</c:v>
                </c:pt>
                <c:pt idx="50">
                  <c:v>0.26970370380454356</c:v>
                </c:pt>
                <c:pt idx="51">
                  <c:v>0.27053874826639274</c:v>
                </c:pt>
                <c:pt idx="52">
                  <c:v>0.26276596125393853</c:v>
                </c:pt>
                <c:pt idx="53">
                  <c:v>0.2602468356815128</c:v>
                </c:pt>
                <c:pt idx="54">
                  <c:v>0.25321373811190262</c:v>
                </c:pt>
                <c:pt idx="55">
                  <c:v>0.2467469656333382</c:v>
                </c:pt>
                <c:pt idx="56">
                  <c:v>0.23965410639283061</c:v>
                </c:pt>
                <c:pt idx="57">
                  <c:v>0.23219502189742411</c:v>
                </c:pt>
                <c:pt idx="58">
                  <c:v>0.22110738173944319</c:v>
                </c:pt>
                <c:pt idx="59">
                  <c:v>0.21201949105352383</c:v>
                </c:pt>
                <c:pt idx="60">
                  <c:v>0.20114349139491655</c:v>
                </c:pt>
                <c:pt idx="61">
                  <c:v>0.19062187566942049</c:v>
                </c:pt>
                <c:pt idx="62">
                  <c:v>0.17868499071447777</c:v>
                </c:pt>
                <c:pt idx="63">
                  <c:v>0.16822043073282991</c:v>
                </c:pt>
                <c:pt idx="64">
                  <c:v>0.15654905041484585</c:v>
                </c:pt>
                <c:pt idx="65">
                  <c:v>0.14744922589681234</c:v>
                </c:pt>
                <c:pt idx="66">
                  <c:v>0.13456304622683435</c:v>
                </c:pt>
                <c:pt idx="67">
                  <c:v>0.12468014492284414</c:v>
                </c:pt>
                <c:pt idx="68">
                  <c:v>0.11069871237024854</c:v>
                </c:pt>
                <c:pt idx="69">
                  <c:v>0.1015768472669344</c:v>
                </c:pt>
                <c:pt idx="70">
                  <c:v>8.9946865320044062E-2</c:v>
                </c:pt>
                <c:pt idx="71">
                  <c:v>8.0304699013101125E-2</c:v>
                </c:pt>
                <c:pt idx="72">
                  <c:v>6.9976013573450832E-2</c:v>
                </c:pt>
                <c:pt idx="73">
                  <c:v>5.9399446714033709E-2</c:v>
                </c:pt>
                <c:pt idx="74">
                  <c:v>5.096969067990368E-2</c:v>
                </c:pt>
                <c:pt idx="75">
                  <c:v>4.2807213168242306E-2</c:v>
                </c:pt>
                <c:pt idx="76">
                  <c:v>3.6309593121317679E-2</c:v>
                </c:pt>
                <c:pt idx="77">
                  <c:v>3.0964457470479184E-2</c:v>
                </c:pt>
                <c:pt idx="78">
                  <c:v>2.5260518205682474E-2</c:v>
                </c:pt>
                <c:pt idx="79">
                  <c:v>2.0846179830102275E-2</c:v>
                </c:pt>
                <c:pt idx="80">
                  <c:v>1.6565856538957667E-2</c:v>
                </c:pt>
                <c:pt idx="81">
                  <c:v>1.296908742455718E-2</c:v>
                </c:pt>
                <c:pt idx="82">
                  <c:v>1.0158979871263971E-2</c:v>
                </c:pt>
                <c:pt idx="83">
                  <c:v>7.8133990457729605E-3</c:v>
                </c:pt>
                <c:pt idx="84">
                  <c:v>5.9898031118524528E-3</c:v>
                </c:pt>
                <c:pt idx="85">
                  <c:v>4.3287998585920971E-3</c:v>
                </c:pt>
                <c:pt idx="86">
                  <c:v>3.1968633936690647E-3</c:v>
                </c:pt>
                <c:pt idx="87">
                  <c:v>2.2148746041573053E-3</c:v>
                </c:pt>
                <c:pt idx="88">
                  <c:v>1.3056102637631504E-3</c:v>
                </c:pt>
                <c:pt idx="89">
                  <c:v>9.6132313895824057E-4</c:v>
                </c:pt>
                <c:pt idx="90">
                  <c:v>6.1560857981595352E-4</c:v>
                </c:pt>
                <c:pt idx="91">
                  <c:v>4.155570803146468E-4</c:v>
                </c:pt>
                <c:pt idx="92">
                  <c:v>2.7875250887753083E-4</c:v>
                </c:pt>
                <c:pt idx="93">
                  <c:v>1.6819850578545737E-4</c:v>
                </c:pt>
                <c:pt idx="94">
                  <c:v>9.8861692312726313E-5</c:v>
                </c:pt>
                <c:pt idx="95">
                  <c:v>7.0148545332310687E-5</c:v>
                </c:pt>
                <c:pt idx="96">
                  <c:v>4.1088713590703966E-5</c:v>
                </c:pt>
                <c:pt idx="97">
                  <c:v>1.7698647799297252E-5</c:v>
                </c:pt>
                <c:pt idx="98">
                  <c:v>9.7823240770559054E-6</c:v>
                </c:pt>
                <c:pt idx="99">
                  <c:v>8.17021831322846E-6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F-E24B-B305-92F1F36C560F}"/>
            </c:ext>
          </c:extLst>
        </c:ser>
        <c:ser>
          <c:idx val="1"/>
          <c:order val="1"/>
          <c:tx>
            <c:v>Thermal probe characteristic depth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dpa_conversion!$Q$52:$Q$53</c:f>
              <c:numCache>
                <c:formatCode>0.00</c:formatCode>
                <c:ptCount val="2"/>
                <c:pt idx="0">
                  <c:v>1.0822536130248883</c:v>
                </c:pt>
                <c:pt idx="1">
                  <c:v>1.0822536130248883</c:v>
                </c:pt>
              </c:numCache>
            </c:numRef>
          </c:xVal>
          <c:yVal>
            <c:numRef>
              <c:f>dpa_conversion!$R$52:$R$53</c:f>
              <c:numCache>
                <c:formatCode>0.00</c:formatCode>
                <c:ptCount val="2"/>
                <c:pt idx="0">
                  <c:v>8.17021831322846E-6</c:v>
                </c:pt>
                <c:pt idx="1">
                  <c:v>0.27793543454659769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2F-E24B-B305-92F1F36C560F}"/>
            </c:ext>
          </c:extLst>
        </c:ser>
        <c:ser>
          <c:idx val="2"/>
          <c:order val="2"/>
          <c:tx>
            <c:v>Elastic probe characteristic depth</c:v>
          </c:tx>
          <c:spPr>
            <a:ln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dpa_conversion!$Q$55:$Q$56</c:f>
              <c:numCache>
                <c:formatCode>0.00</c:formatCode>
                <c:ptCount val="2"/>
                <c:pt idx="0">
                  <c:v>3.4</c:v>
                </c:pt>
                <c:pt idx="1">
                  <c:v>3.4</c:v>
                </c:pt>
              </c:numCache>
            </c:numRef>
          </c:xVal>
          <c:yVal>
            <c:numRef>
              <c:f>dpa_conversion!$R$55:$R$56</c:f>
              <c:numCache>
                <c:formatCode>0.00</c:formatCode>
                <c:ptCount val="2"/>
                <c:pt idx="0">
                  <c:v>8.17021831322846E-6</c:v>
                </c:pt>
                <c:pt idx="1">
                  <c:v>0.27793543454659769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2F-E24B-B305-92F1F36C560F}"/>
            </c:ext>
          </c:extLst>
        </c:ser>
        <c:ser>
          <c:idx val="3"/>
          <c:order val="3"/>
          <c:tx>
            <c:v>Thermal probe depth response (normalised)</c:v>
          </c:tx>
          <c:marker>
            <c:spPr>
              <a:noFill/>
              <a:ln>
                <a:noFill/>
              </a:ln>
            </c:spPr>
          </c:marker>
          <c:xVal>
            <c:numRef>
              <c:f>dpa_conversion!$G$18:$G$117</c:f>
              <c:numCache>
                <c:formatCode>0.00</c:formatCode>
                <c:ptCount val="100"/>
                <c:pt idx="0">
                  <c:v>2.0000999999999998E-2</c:v>
                </c:pt>
                <c:pt idx="1">
                  <c:v>4.0001000000000002E-2</c:v>
                </c:pt>
                <c:pt idx="2">
                  <c:v>6.0000999999999999E-2</c:v>
                </c:pt>
                <c:pt idx="3">
                  <c:v>8.0001000000000003E-2</c:v>
                </c:pt>
                <c:pt idx="4">
                  <c:v>0.10000099999999999</c:v>
                </c:pt>
                <c:pt idx="5">
                  <c:v>0.120001</c:v>
                </c:pt>
                <c:pt idx="6">
                  <c:v>0.14000099999999999</c:v>
                </c:pt>
                <c:pt idx="7">
                  <c:v>0.160001</c:v>
                </c:pt>
                <c:pt idx="8">
                  <c:v>0.18000099999999999</c:v>
                </c:pt>
                <c:pt idx="9">
                  <c:v>0.20000100000000001</c:v>
                </c:pt>
                <c:pt idx="10">
                  <c:v>0.22000100000000003</c:v>
                </c:pt>
                <c:pt idx="11">
                  <c:v>0.24000100000000002</c:v>
                </c:pt>
                <c:pt idx="12">
                  <c:v>0.26000100000000004</c:v>
                </c:pt>
                <c:pt idx="13">
                  <c:v>0.280001</c:v>
                </c:pt>
                <c:pt idx="14">
                  <c:v>0.30000100000000002</c:v>
                </c:pt>
                <c:pt idx="15">
                  <c:v>0.32000100000000004</c:v>
                </c:pt>
                <c:pt idx="16">
                  <c:v>0.340001</c:v>
                </c:pt>
                <c:pt idx="17">
                  <c:v>0.36000100000000002</c:v>
                </c:pt>
                <c:pt idx="18">
                  <c:v>0.38000100000000003</c:v>
                </c:pt>
                <c:pt idx="19">
                  <c:v>0.400001</c:v>
                </c:pt>
                <c:pt idx="20">
                  <c:v>0.42000100000000001</c:v>
                </c:pt>
                <c:pt idx="21">
                  <c:v>0.44000100000000003</c:v>
                </c:pt>
                <c:pt idx="22">
                  <c:v>0.46000100000000005</c:v>
                </c:pt>
                <c:pt idx="23">
                  <c:v>0.48000100000000001</c:v>
                </c:pt>
                <c:pt idx="24">
                  <c:v>0.50000100000000003</c:v>
                </c:pt>
                <c:pt idx="25">
                  <c:v>0.52000100000000005</c:v>
                </c:pt>
                <c:pt idx="26">
                  <c:v>0.54000100000000006</c:v>
                </c:pt>
                <c:pt idx="27">
                  <c:v>0.56000099999999997</c:v>
                </c:pt>
                <c:pt idx="28">
                  <c:v>0.58000099999999999</c:v>
                </c:pt>
                <c:pt idx="29">
                  <c:v>0.60000100000000001</c:v>
                </c:pt>
                <c:pt idx="30">
                  <c:v>0.62000100000000002</c:v>
                </c:pt>
                <c:pt idx="31">
                  <c:v>0.64000100000000004</c:v>
                </c:pt>
                <c:pt idx="32">
                  <c:v>0.66000100000000006</c:v>
                </c:pt>
                <c:pt idx="33">
                  <c:v>0.68000099999999997</c:v>
                </c:pt>
                <c:pt idx="34">
                  <c:v>0.70000099999999998</c:v>
                </c:pt>
                <c:pt idx="35">
                  <c:v>0.720001</c:v>
                </c:pt>
                <c:pt idx="36">
                  <c:v>0.74000100000000002</c:v>
                </c:pt>
                <c:pt idx="37">
                  <c:v>0.76000100000000004</c:v>
                </c:pt>
                <c:pt idx="38">
                  <c:v>0.78000100000000006</c:v>
                </c:pt>
                <c:pt idx="39">
                  <c:v>0.80000100000000007</c:v>
                </c:pt>
                <c:pt idx="40">
                  <c:v>0.82000099999999998</c:v>
                </c:pt>
                <c:pt idx="41">
                  <c:v>0.840001</c:v>
                </c:pt>
                <c:pt idx="42">
                  <c:v>0.86000100000000002</c:v>
                </c:pt>
                <c:pt idx="43">
                  <c:v>0.88000100000000003</c:v>
                </c:pt>
                <c:pt idx="44">
                  <c:v>0.90000100000000005</c:v>
                </c:pt>
                <c:pt idx="45">
                  <c:v>0.92000100000000007</c:v>
                </c:pt>
                <c:pt idx="46">
                  <c:v>0.94000099999999998</c:v>
                </c:pt>
                <c:pt idx="47">
                  <c:v>0.96000099999999999</c:v>
                </c:pt>
                <c:pt idx="48">
                  <c:v>0.98000100000000001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dpa_conversion!$M$18:$M$117</c:f>
              <c:numCache>
                <c:formatCode>0.00</c:formatCode>
                <c:ptCount val="100"/>
                <c:pt idx="0">
                  <c:v>0.27284611531709801</c:v>
                </c:pt>
                <c:pt idx="1">
                  <c:v>0.26785023490124038</c:v>
                </c:pt>
                <c:pt idx="2">
                  <c:v>0.26294583030170704</c:v>
                </c:pt>
                <c:pt idx="3">
                  <c:v>0.25813122657348819</c:v>
                </c:pt>
                <c:pt idx="4">
                  <c:v>0.25340477944023493</c:v>
                </c:pt>
                <c:pt idx="5">
                  <c:v>0.24876487473270817</c:v>
                </c:pt>
                <c:pt idx="6">
                  <c:v>0.2442099278375103</c:v>
                </c:pt>
                <c:pt idx="7">
                  <c:v>0.23973838315591017</c:v>
                </c:pt>
                <c:pt idx="8">
                  <c:v>0.23534871357257733</c:v>
                </c:pt>
                <c:pt idx="9">
                  <c:v>0.23103941993404392</c:v>
                </c:pt>
                <c:pt idx="10">
                  <c:v>0.22680903053671586</c:v>
                </c:pt>
                <c:pt idx="11">
                  <c:v>0.22265610062425897</c:v>
                </c:pt>
                <c:pt idx="12">
                  <c:v>0.21857921189418786</c:v>
                </c:pt>
                <c:pt idx="13">
                  <c:v>0.21457697201348933</c:v>
                </c:pt>
                <c:pt idx="14">
                  <c:v>0.21064801414311482</c:v>
                </c:pt>
                <c:pt idx="15">
                  <c:v>0.20679099647117968</c:v>
                </c:pt>
                <c:pt idx="16">
                  <c:v>0.20300460175470961</c:v>
                </c:pt>
                <c:pt idx="17">
                  <c:v>0.19928753686977746</c:v>
                </c:pt>
                <c:pt idx="18">
                  <c:v>0.19563853236987783</c:v>
                </c:pt>
                <c:pt idx="19">
                  <c:v>0.19205634205238734</c:v>
                </c:pt>
                <c:pt idx="20">
                  <c:v>0.18853974253296346</c:v>
                </c:pt>
                <c:pt idx="21">
                  <c:v>0.1850875328277361</c:v>
                </c:pt>
                <c:pt idx="22">
                  <c:v>0.18169853394314928</c:v>
                </c:pt>
                <c:pt idx="23">
                  <c:v>0.17837158847331308</c:v>
                </c:pt>
                <c:pt idx="24">
                  <c:v>0.17510556020472809</c:v>
                </c:pt>
                <c:pt idx="25">
                  <c:v>0.17189933372824739</c:v>
                </c:pt>
                <c:pt idx="26">
                  <c:v>0.16875181405814377</c:v>
                </c:pt>
                <c:pt idx="27">
                  <c:v>0.16566192625815171</c:v>
                </c:pt>
                <c:pt idx="28">
                  <c:v>0.1626286150743568</c:v>
                </c:pt>
                <c:pt idx="29">
                  <c:v>0.15965084457480694</c:v>
                </c:pt>
                <c:pt idx="30">
                  <c:v>0.15672759779572254</c:v>
                </c:pt>
                <c:pt idx="31">
                  <c:v>0.15385787639418422</c:v>
                </c:pt>
                <c:pt idx="32">
                  <c:v>0.15104070030718064</c:v>
                </c:pt>
                <c:pt idx="33">
                  <c:v>0.14827510741689851</c:v>
                </c:pt>
                <c:pt idx="34">
                  <c:v>0.14556015322214164</c:v>
                </c:pt>
                <c:pt idx="35">
                  <c:v>0.14289491051576633</c:v>
                </c:pt>
                <c:pt idx="36">
                  <c:v>0.14027846906802285</c:v>
                </c:pt>
                <c:pt idx="37">
                  <c:v>0.13770993531569528</c:v>
                </c:pt>
                <c:pt idx="38">
                  <c:v>0.13518843205693298</c:v>
                </c:pt>
                <c:pt idx="39">
                  <c:v>0.1327130981516699</c:v>
                </c:pt>
                <c:pt idx="40">
                  <c:v>0.13028308822752946</c:v>
                </c:pt>
                <c:pt idx="41">
                  <c:v>0.12789757239111402</c:v>
                </c:pt>
                <c:pt idx="42">
                  <c:v>0.12555573594458111</c:v>
                </c:pt>
                <c:pt idx="43">
                  <c:v>0.12325677910740888</c:v>
                </c:pt>
                <c:pt idx="44">
                  <c:v>0.1209999167432563</c:v>
                </c:pt>
                <c:pt idx="45">
                  <c:v>0.11878437809182453</c:v>
                </c:pt>
                <c:pt idx="46">
                  <c:v>0.11660940650562807</c:v>
                </c:pt>
                <c:pt idx="47">
                  <c:v>0.11447425919158552</c:v>
                </c:pt>
                <c:pt idx="48">
                  <c:v>0.11237820695734203</c:v>
                </c:pt>
                <c:pt idx="49">
                  <c:v>0.11032063589821885</c:v>
                </c:pt>
                <c:pt idx="50">
                  <c:v>0.10830063754233851</c:v>
                </c:pt>
                <c:pt idx="51">
                  <c:v>0.10631762586011662</c:v>
                </c:pt>
                <c:pt idx="52">
                  <c:v>0.10437092361633449</c:v>
                </c:pt>
                <c:pt idx="53">
                  <c:v>0.10245986597611914</c:v>
                </c:pt>
                <c:pt idx="54">
                  <c:v>0.10058380027788995</c:v>
                </c:pt>
                <c:pt idx="55">
                  <c:v>9.8742085810462607E-2</c:v>
                </c:pt>
                <c:pt idx="56">
                  <c:v>9.6934093594234397E-2</c:v>
                </c:pt>
                <c:pt idx="57">
                  <c:v>9.5159206166375909E-2</c:v>
                </c:pt>
                <c:pt idx="58">
                  <c:v>9.3416817369956162E-2</c:v>
                </c:pt>
                <c:pt idx="59">
                  <c:v>9.1706332146928818E-2</c:v>
                </c:pt>
                <c:pt idx="60">
                  <c:v>9.0027166334908676E-2</c:v>
                </c:pt>
                <c:pt idx="61">
                  <c:v>8.8378746467669508E-2</c:v>
                </c:pt>
                <c:pt idx="62">
                  <c:v>8.6760509579294778E-2</c:v>
                </c:pt>
                <c:pt idx="63">
                  <c:v>8.5171903011914171E-2</c:v>
                </c:pt>
                <c:pt idx="64">
                  <c:v>8.3612384226960879E-2</c:v>
                </c:pt>
                <c:pt idx="65">
                  <c:v>8.2081420619884521E-2</c:v>
                </c:pt>
                <c:pt idx="66">
                  <c:v>8.0578489338256856E-2</c:v>
                </c:pt>
                <c:pt idx="67">
                  <c:v>7.9103077103208019E-2</c:v>
                </c:pt>
                <c:pt idx="68">
                  <c:v>7.765468003413227E-2</c:v>
                </c:pt>
                <c:pt idx="69">
                  <c:v>7.6232803476603356E-2</c:v>
                </c:pt>
                <c:pt idx="70">
                  <c:v>7.4836961833441004E-2</c:v>
                </c:pt>
                <c:pt idx="71">
                  <c:v>7.3466678398870333E-2</c:v>
                </c:pt>
                <c:pt idx="72">
                  <c:v>7.2121485195718191E-2</c:v>
                </c:pt>
                <c:pt idx="73">
                  <c:v>7.0800922815590098E-2</c:v>
                </c:pt>
                <c:pt idx="74">
                  <c:v>6.9504540261973821E-2</c:v>
                </c:pt>
                <c:pt idx="75">
                  <c:v>6.8231894796215845E-2</c:v>
                </c:pt>
                <c:pt idx="76">
                  <c:v>6.6982551786317721E-2</c:v>
                </c:pt>
                <c:pt idx="77">
                  <c:v>6.5756084558501321E-2</c:v>
                </c:pt>
                <c:pt idx="78">
                  <c:v>6.4552074251491801E-2</c:v>
                </c:pt>
                <c:pt idx="79">
                  <c:v>6.3370109673468705E-2</c:v>
                </c:pt>
                <c:pt idx="80">
                  <c:v>6.2209787161636353E-2</c:v>
                </c:pt>
                <c:pt idx="81">
                  <c:v>6.1070710444365559E-2</c:v>
                </c:pt>
                <c:pt idx="82">
                  <c:v>5.9952490505859449E-2</c:v>
                </c:pt>
                <c:pt idx="83">
                  <c:v>5.8854745453297407E-2</c:v>
                </c:pt>
                <c:pt idx="84">
                  <c:v>5.7777100386411651E-2</c:v>
                </c:pt>
                <c:pt idx="85">
                  <c:v>5.6719187269451743E-2</c:v>
                </c:pt>
                <c:pt idx="86">
                  <c:v>5.5680644805493645E-2</c:v>
                </c:pt>
                <c:pt idx="87">
                  <c:v>5.4661118313050081E-2</c:v>
                </c:pt>
                <c:pt idx="88">
                  <c:v>5.3660259604940294E-2</c:v>
                </c:pt>
                <c:pt idx="89">
                  <c:v>5.2677726869377627E-2</c:v>
                </c:pt>
                <c:pt idx="90">
                  <c:v>5.171318455323444E-2</c:v>
                </c:pt>
                <c:pt idx="91">
                  <c:v>5.0766303247444612E-2</c:v>
                </c:pt>
                <c:pt idx="92">
                  <c:v>4.9836759574504133E-2</c:v>
                </c:pt>
                <c:pt idx="93">
                  <c:v>4.8924236078031737E-2</c:v>
                </c:pt>
                <c:pt idx="94">
                  <c:v>4.8028421114351669E-2</c:v>
                </c:pt>
                <c:pt idx="95">
                  <c:v>4.7149008746061608E-2</c:v>
                </c:pt>
                <c:pt idx="96">
                  <c:v>4.6285698637549354E-2</c:v>
                </c:pt>
                <c:pt idx="97">
                  <c:v>4.5438195952422683E-2</c:v>
                </c:pt>
                <c:pt idx="98">
                  <c:v>4.4606211252817232E-2</c:v>
                </c:pt>
                <c:pt idx="99">
                  <c:v>4.3789460400548104E-2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2F-E24B-B305-92F1F36C560F}"/>
            </c:ext>
          </c:extLst>
        </c:ser>
        <c:ser>
          <c:idx val="4"/>
          <c:order val="4"/>
          <c:tx>
            <c:v>Elastic probe depth response (normalised)</c:v>
          </c:tx>
          <c:spPr>
            <a:ln>
              <a:solidFill>
                <a:schemeClr val="accent3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dpa_conversion!$G$18:$G$117</c:f>
              <c:numCache>
                <c:formatCode>0.00</c:formatCode>
                <c:ptCount val="100"/>
                <c:pt idx="0">
                  <c:v>2.0000999999999998E-2</c:v>
                </c:pt>
                <c:pt idx="1">
                  <c:v>4.0001000000000002E-2</c:v>
                </c:pt>
                <c:pt idx="2">
                  <c:v>6.0000999999999999E-2</c:v>
                </c:pt>
                <c:pt idx="3">
                  <c:v>8.0001000000000003E-2</c:v>
                </c:pt>
                <c:pt idx="4">
                  <c:v>0.10000099999999999</c:v>
                </c:pt>
                <c:pt idx="5">
                  <c:v>0.120001</c:v>
                </c:pt>
                <c:pt idx="6">
                  <c:v>0.14000099999999999</c:v>
                </c:pt>
                <c:pt idx="7">
                  <c:v>0.160001</c:v>
                </c:pt>
                <c:pt idx="8">
                  <c:v>0.18000099999999999</c:v>
                </c:pt>
                <c:pt idx="9">
                  <c:v>0.20000100000000001</c:v>
                </c:pt>
                <c:pt idx="10">
                  <c:v>0.22000100000000003</c:v>
                </c:pt>
                <c:pt idx="11">
                  <c:v>0.24000100000000002</c:v>
                </c:pt>
                <c:pt idx="12">
                  <c:v>0.26000100000000004</c:v>
                </c:pt>
                <c:pt idx="13">
                  <c:v>0.280001</c:v>
                </c:pt>
                <c:pt idx="14">
                  <c:v>0.30000100000000002</c:v>
                </c:pt>
                <c:pt idx="15">
                  <c:v>0.32000100000000004</c:v>
                </c:pt>
                <c:pt idx="16">
                  <c:v>0.340001</c:v>
                </c:pt>
                <c:pt idx="17">
                  <c:v>0.36000100000000002</c:v>
                </c:pt>
                <c:pt idx="18">
                  <c:v>0.38000100000000003</c:v>
                </c:pt>
                <c:pt idx="19">
                  <c:v>0.400001</c:v>
                </c:pt>
                <c:pt idx="20">
                  <c:v>0.42000100000000001</c:v>
                </c:pt>
                <c:pt idx="21">
                  <c:v>0.44000100000000003</c:v>
                </c:pt>
                <c:pt idx="22">
                  <c:v>0.46000100000000005</c:v>
                </c:pt>
                <c:pt idx="23">
                  <c:v>0.48000100000000001</c:v>
                </c:pt>
                <c:pt idx="24">
                  <c:v>0.50000100000000003</c:v>
                </c:pt>
                <c:pt idx="25">
                  <c:v>0.52000100000000005</c:v>
                </c:pt>
                <c:pt idx="26">
                  <c:v>0.54000100000000006</c:v>
                </c:pt>
                <c:pt idx="27">
                  <c:v>0.56000099999999997</c:v>
                </c:pt>
                <c:pt idx="28">
                  <c:v>0.58000099999999999</c:v>
                </c:pt>
                <c:pt idx="29">
                  <c:v>0.60000100000000001</c:v>
                </c:pt>
                <c:pt idx="30">
                  <c:v>0.62000100000000002</c:v>
                </c:pt>
                <c:pt idx="31">
                  <c:v>0.64000100000000004</c:v>
                </c:pt>
                <c:pt idx="32">
                  <c:v>0.66000100000000006</c:v>
                </c:pt>
                <c:pt idx="33">
                  <c:v>0.68000099999999997</c:v>
                </c:pt>
                <c:pt idx="34">
                  <c:v>0.70000099999999998</c:v>
                </c:pt>
                <c:pt idx="35">
                  <c:v>0.720001</c:v>
                </c:pt>
                <c:pt idx="36">
                  <c:v>0.74000100000000002</c:v>
                </c:pt>
                <c:pt idx="37">
                  <c:v>0.76000100000000004</c:v>
                </c:pt>
                <c:pt idx="38">
                  <c:v>0.78000100000000006</c:v>
                </c:pt>
                <c:pt idx="39">
                  <c:v>0.80000100000000007</c:v>
                </c:pt>
                <c:pt idx="40">
                  <c:v>0.82000099999999998</c:v>
                </c:pt>
                <c:pt idx="41">
                  <c:v>0.840001</c:v>
                </c:pt>
                <c:pt idx="42">
                  <c:v>0.86000100000000002</c:v>
                </c:pt>
                <c:pt idx="43">
                  <c:v>0.88000100000000003</c:v>
                </c:pt>
                <c:pt idx="44">
                  <c:v>0.90000100000000005</c:v>
                </c:pt>
                <c:pt idx="45">
                  <c:v>0.92000100000000007</c:v>
                </c:pt>
                <c:pt idx="46">
                  <c:v>0.94000099999999998</c:v>
                </c:pt>
                <c:pt idx="47">
                  <c:v>0.96000099999999999</c:v>
                </c:pt>
                <c:pt idx="48">
                  <c:v>0.98000100000000001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dpa_conversion!$N$18:$N$117</c:f>
              <c:numCache>
                <c:formatCode>0.00</c:formatCode>
                <c:ptCount val="100"/>
                <c:pt idx="0">
                  <c:v>0.27630523811628643</c:v>
                </c:pt>
                <c:pt idx="1">
                  <c:v>0.27468468419413061</c:v>
                </c:pt>
                <c:pt idx="2">
                  <c:v>0.27307363495973436</c:v>
                </c:pt>
                <c:pt idx="3">
                  <c:v>0.27147203466728859</c:v>
                </c:pt>
                <c:pt idx="4">
                  <c:v>0.2698798278979383</c:v>
                </c:pt>
                <c:pt idx="5">
                  <c:v>0.26829695955786476</c:v>
                </c:pt>
                <c:pt idx="6">
                  <c:v>0.26672337487637932</c:v>
                </c:pt>
                <c:pt idx="7">
                  <c:v>0.26515901940402797</c:v>
                </c:pt>
                <c:pt idx="8">
                  <c:v>0.2636038390107075</c:v>
                </c:pt>
                <c:pt idx="9">
                  <c:v>0.26205777988379242</c:v>
                </c:pt>
                <c:pt idx="10">
                  <c:v>0.26052078852627286</c:v>
                </c:pt>
                <c:pt idx="11">
                  <c:v>0.25899281175490346</c:v>
                </c:pt>
                <c:pt idx="12">
                  <c:v>0.25747379669836318</c:v>
                </c:pt>
                <c:pt idx="13">
                  <c:v>0.25596369079542597</c:v>
                </c:pt>
                <c:pt idx="14">
                  <c:v>0.25446244179314165</c:v>
                </c:pt>
                <c:pt idx="15">
                  <c:v>0.25296999774502821</c:v>
                </c:pt>
                <c:pt idx="16">
                  <c:v>0.25148630700927416</c:v>
                </c:pt>
                <c:pt idx="17">
                  <c:v>0.25001131824695161</c:v>
                </c:pt>
                <c:pt idx="18">
                  <c:v>0.24854498042024012</c:v>
                </c:pt>
                <c:pt idx="19">
                  <c:v>0.24708724279066019</c:v>
                </c:pt>
                <c:pt idx="20">
                  <c:v>0.24563805491731788</c:v>
                </c:pt>
                <c:pt idx="21">
                  <c:v>0.24419736665515962</c:v>
                </c:pt>
                <c:pt idx="22">
                  <c:v>0.24276512815323661</c:v>
                </c:pt>
                <c:pt idx="23">
                  <c:v>0.2413412898529804</c:v>
                </c:pt>
                <c:pt idx="24">
                  <c:v>0.23992580248648759</c:v>
                </c:pt>
                <c:pt idx="25">
                  <c:v>0.23851861707481536</c:v>
                </c:pt>
                <c:pt idx="26">
                  <c:v>0.23711968492628657</c:v>
                </c:pt>
                <c:pt idx="27">
                  <c:v>0.23572895763480495</c:v>
                </c:pt>
                <c:pt idx="28">
                  <c:v>0.23434638707818015</c:v>
                </c:pt>
                <c:pt idx="29">
                  <c:v>0.23297192541646253</c:v>
                </c:pt>
                <c:pt idx="30">
                  <c:v>0.23160552509028795</c:v>
                </c:pt>
                <c:pt idx="31">
                  <c:v>0.23024713881923192</c:v>
                </c:pt>
                <c:pt idx="32">
                  <c:v>0.22889671960017383</c:v>
                </c:pt>
                <c:pt idx="33">
                  <c:v>0.22755422070567025</c:v>
                </c:pt>
                <c:pt idx="34">
                  <c:v>0.22621959568233829</c:v>
                </c:pt>
                <c:pt idx="35">
                  <c:v>0.22489279834924822</c:v>
                </c:pt>
                <c:pt idx="36">
                  <c:v>0.22357378279632523</c:v>
                </c:pt>
                <c:pt idx="37">
                  <c:v>0.22226250338276116</c:v>
                </c:pt>
                <c:pt idx="38">
                  <c:v>0.22095891473543516</c:v>
                </c:pt>
                <c:pt idx="39">
                  <c:v>0.21966297174734345</c:v>
                </c:pt>
                <c:pt idx="40">
                  <c:v>0.21837462957603893</c:v>
                </c:pt>
                <c:pt idx="41">
                  <c:v>0.21709384364207904</c:v>
                </c:pt>
                <c:pt idx="42">
                  <c:v>0.21582056962748367</c:v>
                </c:pt>
                <c:pt idx="43">
                  <c:v>0.21455476347420138</c:v>
                </c:pt>
                <c:pt idx="44">
                  <c:v>0.21329638138258503</c:v>
                </c:pt>
                <c:pt idx="45">
                  <c:v>0.21204537980987609</c:v>
                </c:pt>
                <c:pt idx="46">
                  <c:v>0.21080171546869811</c:v>
                </c:pt>
                <c:pt idx="47">
                  <c:v>0.20956534532555879</c:v>
                </c:pt>
                <c:pt idx="48">
                  <c:v>0.20833622659936096</c:v>
                </c:pt>
                <c:pt idx="49">
                  <c:v>0.20711437767590676</c:v>
                </c:pt>
                <c:pt idx="50">
                  <c:v>0.20589963408521056</c:v>
                </c:pt>
                <c:pt idx="51">
                  <c:v>0.2046920150698707</c:v>
                </c:pt>
                <c:pt idx="52">
                  <c:v>0.2034914788436416</c:v>
                </c:pt>
                <c:pt idx="53">
                  <c:v>0.20229798386535763</c:v>
                </c:pt>
                <c:pt idx="54">
                  <c:v>0.20111148883749555</c:v>
                </c:pt>
                <c:pt idx="55">
                  <c:v>0.19993195270474573</c:v>
                </c:pt>
                <c:pt idx="56">
                  <c:v>0.19875933465259146</c:v>
                </c:pt>
                <c:pt idx="57">
                  <c:v>0.19759359410589655</c:v>
                </c:pt>
                <c:pt idx="58">
                  <c:v>0.19643469072750164</c:v>
                </c:pt>
                <c:pt idx="59">
                  <c:v>0.19528258441682816</c:v>
                </c:pt>
                <c:pt idx="60">
                  <c:v>0.19413723530849084</c:v>
                </c:pt>
                <c:pt idx="61">
                  <c:v>0.1929986037709184</c:v>
                </c:pt>
                <c:pt idx="62">
                  <c:v>0.19186665040498213</c:v>
                </c:pt>
                <c:pt idx="63">
                  <c:v>0.19074133604263249</c:v>
                </c:pt>
                <c:pt idx="64">
                  <c:v>0.18962262174554401</c:v>
                </c:pt>
                <c:pt idx="65">
                  <c:v>0.18851046880376779</c:v>
                </c:pt>
                <c:pt idx="66">
                  <c:v>0.18740483873439207</c:v>
                </c:pt>
                <c:pt idx="67">
                  <c:v>0.18630569328021079</c:v>
                </c:pt>
                <c:pt idx="68">
                  <c:v>0.18521299440839956</c:v>
                </c:pt>
                <c:pt idx="69">
                  <c:v>0.18412670430919978</c:v>
                </c:pt>
                <c:pt idx="70">
                  <c:v>0.18304678539461039</c:v>
                </c:pt>
                <c:pt idx="71">
                  <c:v>0.18197320029708716</c:v>
                </c:pt>
                <c:pt idx="72">
                  <c:v>0.18090591186824972</c:v>
                </c:pt>
                <c:pt idx="73">
                  <c:v>0.17984488317759606</c:v>
                </c:pt>
                <c:pt idx="74">
                  <c:v>0.17879007751122483</c:v>
                </c:pt>
                <c:pt idx="75">
                  <c:v>0.17774145837056485</c:v>
                </c:pt>
                <c:pt idx="76">
                  <c:v>0.17669898947111212</c:v>
                </c:pt>
                <c:pt idx="77">
                  <c:v>0.17566263474117438</c:v>
                </c:pt>
                <c:pt idx="78">
                  <c:v>0.17463235832062302</c:v>
                </c:pt>
                <c:pt idx="79">
                  <c:v>0.17360812455965213</c:v>
                </c:pt>
                <c:pt idx="80">
                  <c:v>0.1725898980175449</c:v>
                </c:pt>
                <c:pt idx="81">
                  <c:v>0.17157764346144744</c:v>
                </c:pt>
                <c:pt idx="82">
                  <c:v>0.17057132586514956</c:v>
                </c:pt>
                <c:pt idx="83">
                  <c:v>0.16957091040787273</c:v>
                </c:pt>
                <c:pt idx="84">
                  <c:v>0.16857636247306534</c:v>
                </c:pt>
                <c:pt idx="85">
                  <c:v>0.16758764764720488</c:v>
                </c:pt>
                <c:pt idx="86">
                  <c:v>0.16660473171860693</c:v>
                </c:pt>
                <c:pt idx="87">
                  <c:v>0.16562758067624167</c:v>
                </c:pt>
                <c:pt idx="88">
                  <c:v>0.16465616070855688</c:v>
                </c:pt>
                <c:pt idx="89">
                  <c:v>0.16369043820230791</c:v>
                </c:pt>
                <c:pt idx="90">
                  <c:v>0.16273037974139481</c:v>
                </c:pt>
                <c:pt idx="91">
                  <c:v>0.16177595210570578</c:v>
                </c:pt>
                <c:pt idx="92">
                  <c:v>0.1608271222699679</c:v>
                </c:pt>
                <c:pt idx="93">
                  <c:v>0.15988385740260427</c:v>
                </c:pt>
                <c:pt idx="94">
                  <c:v>0.15894612486459808</c:v>
                </c:pt>
                <c:pt idx="95">
                  <c:v>0.15801389220836307</c:v>
                </c:pt>
                <c:pt idx="96">
                  <c:v>0.15708712717662091</c:v>
                </c:pt>
                <c:pt idx="97">
                  <c:v>0.15616579770128491</c:v>
                </c:pt>
                <c:pt idx="98">
                  <c:v>0.15524987190235054</c:v>
                </c:pt>
                <c:pt idx="99">
                  <c:v>0.15433931808679219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2F-E24B-B305-92F1F36C5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38080"/>
        <c:axId val="230438640"/>
      </c:scatterChart>
      <c:valAx>
        <c:axId val="23043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(um)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30438640"/>
        <c:crosses val="autoZero"/>
        <c:crossBetween val="midCat"/>
      </c:valAx>
      <c:valAx>
        <c:axId val="230438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Dpa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3043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96102568068026"/>
          <c:y val="0.34940141727511487"/>
          <c:w val="0.30199582715180379"/>
          <c:h val="0.227905955592195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>
          <a:latin typeface="+mj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/>
              <a:t>Probe-weighted average dpa thermal components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dpa_conversion!$O$16:$O$17</c:f>
              <c:strCache>
                <c:ptCount val="2"/>
                <c:pt idx="0">
                  <c:v>Probe-weighted</c:v>
                </c:pt>
                <c:pt idx="1">
                  <c:v>average dpa thermal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dpa_conversion!$G$18:$G$117</c:f>
              <c:numCache>
                <c:formatCode>0.00</c:formatCode>
                <c:ptCount val="100"/>
                <c:pt idx="0">
                  <c:v>2.0000999999999998E-2</c:v>
                </c:pt>
                <c:pt idx="1">
                  <c:v>4.0001000000000002E-2</c:v>
                </c:pt>
                <c:pt idx="2">
                  <c:v>6.0000999999999999E-2</c:v>
                </c:pt>
                <c:pt idx="3">
                  <c:v>8.0001000000000003E-2</c:v>
                </c:pt>
                <c:pt idx="4">
                  <c:v>0.10000099999999999</c:v>
                </c:pt>
                <c:pt idx="5">
                  <c:v>0.120001</c:v>
                </c:pt>
                <c:pt idx="6">
                  <c:v>0.14000099999999999</c:v>
                </c:pt>
                <c:pt idx="7">
                  <c:v>0.160001</c:v>
                </c:pt>
                <c:pt idx="8">
                  <c:v>0.18000099999999999</c:v>
                </c:pt>
                <c:pt idx="9">
                  <c:v>0.20000100000000001</c:v>
                </c:pt>
                <c:pt idx="10">
                  <c:v>0.22000100000000003</c:v>
                </c:pt>
                <c:pt idx="11">
                  <c:v>0.24000100000000002</c:v>
                </c:pt>
                <c:pt idx="12">
                  <c:v>0.26000100000000004</c:v>
                </c:pt>
                <c:pt idx="13">
                  <c:v>0.280001</c:v>
                </c:pt>
                <c:pt idx="14">
                  <c:v>0.30000100000000002</c:v>
                </c:pt>
                <c:pt idx="15">
                  <c:v>0.32000100000000004</c:v>
                </c:pt>
                <c:pt idx="16">
                  <c:v>0.340001</c:v>
                </c:pt>
                <c:pt idx="17">
                  <c:v>0.36000100000000002</c:v>
                </c:pt>
                <c:pt idx="18">
                  <c:v>0.38000100000000003</c:v>
                </c:pt>
                <c:pt idx="19">
                  <c:v>0.400001</c:v>
                </c:pt>
                <c:pt idx="20">
                  <c:v>0.42000100000000001</c:v>
                </c:pt>
                <c:pt idx="21">
                  <c:v>0.44000100000000003</c:v>
                </c:pt>
                <c:pt idx="22">
                  <c:v>0.46000100000000005</c:v>
                </c:pt>
                <c:pt idx="23">
                  <c:v>0.48000100000000001</c:v>
                </c:pt>
                <c:pt idx="24">
                  <c:v>0.50000100000000003</c:v>
                </c:pt>
                <c:pt idx="25">
                  <c:v>0.52000100000000005</c:v>
                </c:pt>
                <c:pt idx="26">
                  <c:v>0.54000100000000006</c:v>
                </c:pt>
                <c:pt idx="27">
                  <c:v>0.56000099999999997</c:v>
                </c:pt>
                <c:pt idx="28">
                  <c:v>0.58000099999999999</c:v>
                </c:pt>
                <c:pt idx="29">
                  <c:v>0.60000100000000001</c:v>
                </c:pt>
                <c:pt idx="30">
                  <c:v>0.62000100000000002</c:v>
                </c:pt>
                <c:pt idx="31">
                  <c:v>0.64000100000000004</c:v>
                </c:pt>
                <c:pt idx="32">
                  <c:v>0.66000100000000006</c:v>
                </c:pt>
                <c:pt idx="33">
                  <c:v>0.68000099999999997</c:v>
                </c:pt>
                <c:pt idx="34">
                  <c:v>0.70000099999999998</c:v>
                </c:pt>
                <c:pt idx="35">
                  <c:v>0.720001</c:v>
                </c:pt>
                <c:pt idx="36">
                  <c:v>0.74000100000000002</c:v>
                </c:pt>
                <c:pt idx="37">
                  <c:v>0.76000100000000004</c:v>
                </c:pt>
                <c:pt idx="38">
                  <c:v>0.78000100000000006</c:v>
                </c:pt>
                <c:pt idx="39">
                  <c:v>0.80000100000000007</c:v>
                </c:pt>
                <c:pt idx="40">
                  <c:v>0.82000099999999998</c:v>
                </c:pt>
                <c:pt idx="41">
                  <c:v>0.840001</c:v>
                </c:pt>
                <c:pt idx="42">
                  <c:v>0.86000100000000002</c:v>
                </c:pt>
                <c:pt idx="43">
                  <c:v>0.88000100000000003</c:v>
                </c:pt>
                <c:pt idx="44">
                  <c:v>0.90000100000000005</c:v>
                </c:pt>
                <c:pt idx="45">
                  <c:v>0.92000100000000007</c:v>
                </c:pt>
                <c:pt idx="46">
                  <c:v>0.94000099999999998</c:v>
                </c:pt>
                <c:pt idx="47">
                  <c:v>0.96000099999999999</c:v>
                </c:pt>
                <c:pt idx="48">
                  <c:v>0.98000100000000001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dpa_conversion!$O$18:$O$117</c:f>
              <c:numCache>
                <c:formatCode>0.00</c:formatCode>
                <c:ptCount val="100"/>
                <c:pt idx="0">
                  <c:v>2.2375351376886215E-3</c:v>
                </c:pt>
                <c:pt idx="1">
                  <c:v>2.3914591723596945E-3</c:v>
                </c:pt>
                <c:pt idx="2">
                  <c:v>2.3567232302710611E-3</c:v>
                </c:pt>
                <c:pt idx="3">
                  <c:v>2.4178368059964211E-3</c:v>
                </c:pt>
                <c:pt idx="4">
                  <c:v>2.3901879478535415E-3</c:v>
                </c:pt>
                <c:pt idx="5">
                  <c:v>2.4250702265311659E-3</c:v>
                </c:pt>
                <c:pt idx="6">
                  <c:v>2.533765434526609E-3</c:v>
                </c:pt>
                <c:pt idx="7">
                  <c:v>2.5628109484416798E-3</c:v>
                </c:pt>
                <c:pt idx="8">
                  <c:v>2.5107448403646829E-3</c:v>
                </c:pt>
                <c:pt idx="9">
                  <c:v>2.57108191848984E-3</c:v>
                </c:pt>
                <c:pt idx="10">
                  <c:v>2.600212469856786E-3</c:v>
                </c:pt>
                <c:pt idx="11">
                  <c:v>2.6238325269037294E-3</c:v>
                </c:pt>
                <c:pt idx="12">
                  <c:v>2.6113497255451294E-3</c:v>
                </c:pt>
                <c:pt idx="13">
                  <c:v>2.611970641055247E-3</c:v>
                </c:pt>
                <c:pt idx="14">
                  <c:v>2.6618301216568621E-3</c:v>
                </c:pt>
                <c:pt idx="15">
                  <c:v>2.6883598288711796E-3</c:v>
                </c:pt>
                <c:pt idx="16">
                  <c:v>2.7727134453903791E-3</c:v>
                </c:pt>
                <c:pt idx="17">
                  <c:v>2.7946685038440756E-3</c:v>
                </c:pt>
                <c:pt idx="18">
                  <c:v>2.7802063328043226E-3</c:v>
                </c:pt>
                <c:pt idx="19">
                  <c:v>2.911724355949984E-3</c:v>
                </c:pt>
                <c:pt idx="20">
                  <c:v>2.8567316766731528E-3</c:v>
                </c:pt>
                <c:pt idx="21">
                  <c:v>2.9367096919352487E-3</c:v>
                </c:pt>
                <c:pt idx="22">
                  <c:v>2.995189282703631E-3</c:v>
                </c:pt>
                <c:pt idx="23">
                  <c:v>3.0647692652084916E-3</c:v>
                </c:pt>
                <c:pt idx="24">
                  <c:v>3.1249434867317767E-3</c:v>
                </c:pt>
                <c:pt idx="25">
                  <c:v>3.1287655950309424E-3</c:v>
                </c:pt>
                <c:pt idx="26">
                  <c:v>3.1912945506662E-3</c:v>
                </c:pt>
                <c:pt idx="27">
                  <c:v>3.2869200667066186E-3</c:v>
                </c:pt>
                <c:pt idx="28">
                  <c:v>3.3150233792674732E-3</c:v>
                </c:pt>
                <c:pt idx="29">
                  <c:v>3.3870154998275658E-3</c:v>
                </c:pt>
                <c:pt idx="30">
                  <c:v>3.4112391071702687E-3</c:v>
                </c:pt>
                <c:pt idx="31">
                  <c:v>3.4196091830517388E-3</c:v>
                </c:pt>
                <c:pt idx="32">
                  <c:v>3.5720283760311985E-3</c:v>
                </c:pt>
                <c:pt idx="33">
                  <c:v>3.5389375225739267E-3</c:v>
                </c:pt>
                <c:pt idx="34">
                  <c:v>3.62459879549289E-3</c:v>
                </c:pt>
                <c:pt idx="35">
                  <c:v>3.6625059114668628E-3</c:v>
                </c:pt>
                <c:pt idx="36">
                  <c:v>3.7184637171877514E-3</c:v>
                </c:pt>
                <c:pt idx="37">
                  <c:v>3.7595098114584563E-3</c:v>
                </c:pt>
                <c:pt idx="38">
                  <c:v>3.7079651185736632E-3</c:v>
                </c:pt>
                <c:pt idx="39">
                  <c:v>3.7785422881793074E-3</c:v>
                </c:pt>
                <c:pt idx="40">
                  <c:v>3.7910810132108881E-3</c:v>
                </c:pt>
                <c:pt idx="41">
                  <c:v>3.7934792646138085E-3</c:v>
                </c:pt>
                <c:pt idx="42">
                  <c:v>3.8089890252027722E-3</c:v>
                </c:pt>
                <c:pt idx="43">
                  <c:v>3.7908064503756373E-3</c:v>
                </c:pt>
                <c:pt idx="44">
                  <c:v>3.7180046879513678E-3</c:v>
                </c:pt>
                <c:pt idx="45">
                  <c:v>3.7177804609727196E-3</c:v>
                </c:pt>
                <c:pt idx="46">
                  <c:v>3.6313426643712838E-3</c:v>
                </c:pt>
                <c:pt idx="47">
                  <c:v>3.6219122315442067E-3</c:v>
                </c:pt>
                <c:pt idx="48">
                  <c:v>3.5192298263878375E-3</c:v>
                </c:pt>
                <c:pt idx="49">
                  <c:v>3.4543112454282596E-3</c:v>
                </c:pt>
                <c:pt idx="50">
                  <c:v>3.3250952056860816E-3</c:v>
                </c:pt>
                <c:pt idx="51">
                  <c:v>3.2743183890648364E-3</c:v>
                </c:pt>
                <c:pt idx="52">
                  <c:v>3.1220136214775958E-3</c:v>
                </c:pt>
                <c:pt idx="53">
                  <c:v>3.0354662047303903E-3</c:v>
                </c:pt>
                <c:pt idx="54">
                  <c:v>2.8993554784545457E-3</c:v>
                </c:pt>
                <c:pt idx="55">
                  <c:v>2.7735773272168883E-3</c:v>
                </c:pt>
                <c:pt idx="56">
                  <c:v>2.6445244671874529E-3</c:v>
                </c:pt>
                <c:pt idx="57">
                  <c:v>2.5153004925616155E-3</c:v>
                </c:pt>
                <c:pt idx="58">
                  <c:v>2.351334791594782E-3</c:v>
                </c:pt>
                <c:pt idx="59">
                  <c:v>2.2134069663303402E-3</c:v>
                </c:pt>
                <c:pt idx="60">
                  <c:v>2.0614163950033741E-3</c:v>
                </c:pt>
                <c:pt idx="61">
                  <c:v>1.9178151138519648E-3</c:v>
                </c:pt>
                <c:pt idx="62">
                  <c:v>1.7648033885037876E-3</c:v>
                </c:pt>
                <c:pt idx="63">
                  <c:v>1.6310273832377121E-3</c:v>
                </c:pt>
                <c:pt idx="64">
                  <c:v>1.4900718360892854E-3</c:v>
                </c:pt>
                <c:pt idx="65">
                  <c:v>1.3777598421632811E-3</c:v>
                </c:pt>
                <c:pt idx="66">
                  <c:v>1.2343294531405027E-3</c:v>
                </c:pt>
                <c:pt idx="67">
                  <c:v>1.1227339030175369E-3</c:v>
                </c:pt>
                <c:pt idx="68">
                  <c:v>9.7858006593134952E-4</c:v>
                </c:pt>
                <c:pt idx="69">
                  <c:v>8.8150094324088353E-4</c:v>
                </c:pt>
                <c:pt idx="70">
                  <c:v>7.6628150160541893E-4</c:v>
                </c:pt>
                <c:pt idx="71">
                  <c:v>6.7161057282648514E-4</c:v>
                </c:pt>
                <c:pt idx="72">
                  <c:v>5.7451321157090578E-4</c:v>
                </c:pt>
                <c:pt idx="73">
                  <c:v>4.7874855802729265E-4</c:v>
                </c:pt>
                <c:pt idx="74">
                  <c:v>4.0328431749597391E-4</c:v>
                </c:pt>
                <c:pt idx="75">
                  <c:v>3.3249915660776456E-4</c:v>
                </c:pt>
                <c:pt idx="76">
                  <c:v>2.7686574846079616E-4</c:v>
                </c:pt>
                <c:pt idx="77">
                  <c:v>2.3178513566278613E-4</c:v>
                </c:pt>
                <c:pt idx="78">
                  <c:v>1.8562591975349144E-4</c:v>
                </c:pt>
                <c:pt idx="79">
                  <c:v>1.5038243046199242E-4</c:v>
                </c:pt>
                <c:pt idx="80">
                  <c:v>1.1731641209837067E-4</c:v>
                </c:pt>
                <c:pt idx="81">
                  <c:v>9.0163040980721038E-5</c:v>
                </c:pt>
                <c:pt idx="82">
                  <c:v>6.9333558349640159E-5</c:v>
                </c:pt>
                <c:pt idx="83">
                  <c:v>5.2348911022227235E-5</c:v>
                </c:pt>
                <c:pt idx="84">
                  <c:v>3.9396210609693944E-5</c:v>
                </c:pt>
                <c:pt idx="85">
                  <c:v>2.7950119359021204E-5</c:v>
                </c:pt>
                <c:pt idx="86">
                  <c:v>2.0263501623232802E-5</c:v>
                </c:pt>
                <c:pt idx="87">
                  <c:v>1.3782049872044324E-5</c:v>
                </c:pt>
                <c:pt idx="88">
                  <c:v>7.9754002184061528E-6</c:v>
                </c:pt>
                <c:pt idx="89">
                  <c:v>5.7647779409852461E-6</c:v>
                </c:pt>
                <c:pt idx="90">
                  <c:v>3.6240327011623579E-6</c:v>
                </c:pt>
                <c:pt idx="91">
                  <c:v>2.4015541683947137E-6</c:v>
                </c:pt>
                <c:pt idx="92">
                  <c:v>1.5814473658756017E-6</c:v>
                </c:pt>
                <c:pt idx="93">
                  <c:v>9.3676864838715098E-7</c:v>
                </c:pt>
                <c:pt idx="94">
                  <c:v>5.4052092489860131E-7</c:v>
                </c:pt>
                <c:pt idx="95">
                  <c:v>3.7651076431300291E-7</c:v>
                </c:pt>
                <c:pt idx="96">
                  <c:v>2.1649881760264852E-7</c:v>
                </c:pt>
                <c:pt idx="97">
                  <c:v>9.1547676852239337E-8</c:v>
                </c:pt>
                <c:pt idx="98">
                  <c:v>4.9673360762648521E-8</c:v>
                </c:pt>
                <c:pt idx="99">
                  <c:v>4.072765599643709E-8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0A-1549-B460-BD263C740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41936"/>
        <c:axId val="124442768"/>
      </c:scatterChart>
      <c:valAx>
        <c:axId val="12444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24442768"/>
        <c:crosses val="autoZero"/>
        <c:crossBetween val="midCat"/>
      </c:valAx>
      <c:valAx>
        <c:axId val="12444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2444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'plot saw freq vs dpa'!$E$1</c:f>
              <c:strCache>
                <c:ptCount val="1"/>
                <c:pt idx="0">
                  <c:v>SAW_freq[Hz]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'plot saw freq vs dpa'!$G$2:$G$356</c:f>
              <c:numCache>
                <c:formatCode>0.00</c:formatCode>
                <c:ptCount val="355"/>
                <c:pt idx="0">
                  <c:v>0</c:v>
                </c:pt>
                <c:pt idx="1">
                  <c:v>1.5925925925925982E-2</c:v>
                </c:pt>
                <c:pt idx="2">
                  <c:v>3.1851851851851964E-2</c:v>
                </c:pt>
                <c:pt idx="3">
                  <c:v>4.7777777777777947E-2</c:v>
                </c:pt>
                <c:pt idx="4">
                  <c:v>6.3703703703703929E-2</c:v>
                </c:pt>
                <c:pt idx="5">
                  <c:v>7.9629629629629911E-2</c:v>
                </c:pt>
                <c:pt idx="6">
                  <c:v>9.5555555555555893E-2</c:v>
                </c:pt>
                <c:pt idx="7">
                  <c:v>0.11148148148148188</c:v>
                </c:pt>
                <c:pt idx="8">
                  <c:v>0.12740740740740786</c:v>
                </c:pt>
                <c:pt idx="9">
                  <c:v>0.14333333333333384</c:v>
                </c:pt>
                <c:pt idx="10">
                  <c:v>0.15925925925925982</c:v>
                </c:pt>
                <c:pt idx="11">
                  <c:v>0.1751851851851858</c:v>
                </c:pt>
                <c:pt idx="12">
                  <c:v>0.19111111111111179</c:v>
                </c:pt>
                <c:pt idx="13">
                  <c:v>0.20703703703703777</c:v>
                </c:pt>
                <c:pt idx="14">
                  <c:v>0.22296296296296375</c:v>
                </c:pt>
                <c:pt idx="15">
                  <c:v>0.23888888888888973</c:v>
                </c:pt>
                <c:pt idx="16">
                  <c:v>0.25481481481481572</c:v>
                </c:pt>
                <c:pt idx="17">
                  <c:v>0.27074074074074173</c:v>
                </c:pt>
                <c:pt idx="18">
                  <c:v>0.28666666666666774</c:v>
                </c:pt>
                <c:pt idx="19">
                  <c:v>0.30259259259259375</c:v>
                </c:pt>
                <c:pt idx="20">
                  <c:v>0.31851851851851976</c:v>
                </c:pt>
                <c:pt idx="21">
                  <c:v>0.33444444444444577</c:v>
                </c:pt>
                <c:pt idx="22">
                  <c:v>0.35037037037037178</c:v>
                </c:pt>
                <c:pt idx="23">
                  <c:v>0.36629629629629779</c:v>
                </c:pt>
                <c:pt idx="24">
                  <c:v>0.3822222222222238</c:v>
                </c:pt>
                <c:pt idx="25">
                  <c:v>0.39814814814814981</c:v>
                </c:pt>
                <c:pt idx="26">
                  <c:v>0.41407407407407582</c:v>
                </c:pt>
                <c:pt idx="27">
                  <c:v>0.43000000000000183</c:v>
                </c:pt>
                <c:pt idx="28">
                  <c:v>0.44607142857143034</c:v>
                </c:pt>
                <c:pt idx="29">
                  <c:v>0.46214285714285885</c:v>
                </c:pt>
                <c:pt idx="30">
                  <c:v>0.47821428571428737</c:v>
                </c:pt>
                <c:pt idx="31">
                  <c:v>0.49428571428571588</c:v>
                </c:pt>
                <c:pt idx="32">
                  <c:v>0.5103571428571444</c:v>
                </c:pt>
                <c:pt idx="33">
                  <c:v>0.52642857142857291</c:v>
                </c:pt>
                <c:pt idx="34">
                  <c:v>0.54250000000000143</c:v>
                </c:pt>
                <c:pt idx="35">
                  <c:v>0.55857142857142994</c:v>
                </c:pt>
                <c:pt idx="36">
                  <c:v>0.57464285714285845</c:v>
                </c:pt>
                <c:pt idx="37">
                  <c:v>0.59071428571428697</c:v>
                </c:pt>
                <c:pt idx="38">
                  <c:v>0.60678571428571548</c:v>
                </c:pt>
                <c:pt idx="39">
                  <c:v>0.622857142857144</c:v>
                </c:pt>
                <c:pt idx="40">
                  <c:v>0.63892857142857251</c:v>
                </c:pt>
                <c:pt idx="41">
                  <c:v>0.65500000000000103</c:v>
                </c:pt>
                <c:pt idx="42">
                  <c:v>0.67107142857142954</c:v>
                </c:pt>
                <c:pt idx="43">
                  <c:v>0.68714285714285805</c:v>
                </c:pt>
                <c:pt idx="44">
                  <c:v>0.70321428571428657</c:v>
                </c:pt>
                <c:pt idx="45">
                  <c:v>0.71928571428571508</c:v>
                </c:pt>
                <c:pt idx="46">
                  <c:v>0.7353571428571436</c:v>
                </c:pt>
                <c:pt idx="47">
                  <c:v>0.75142857142857211</c:v>
                </c:pt>
                <c:pt idx="48">
                  <c:v>0.76750000000000063</c:v>
                </c:pt>
                <c:pt idx="49">
                  <c:v>0.78357142857142914</c:v>
                </c:pt>
                <c:pt idx="50">
                  <c:v>0.79964285714285765</c:v>
                </c:pt>
                <c:pt idx="51">
                  <c:v>0.81571428571428617</c:v>
                </c:pt>
                <c:pt idx="52">
                  <c:v>0.83178571428571468</c:v>
                </c:pt>
                <c:pt idx="53">
                  <c:v>0.8478571428571432</c:v>
                </c:pt>
                <c:pt idx="54">
                  <c:v>0.86392857142857171</c:v>
                </c:pt>
                <c:pt idx="55">
                  <c:v>0.88000000000000023</c:v>
                </c:pt>
                <c:pt idx="56">
                  <c:v>0.89593750000000016</c:v>
                </c:pt>
                <c:pt idx="57">
                  <c:v>0.9118750000000001</c:v>
                </c:pt>
                <c:pt idx="58">
                  <c:v>0.92781250000000004</c:v>
                </c:pt>
                <c:pt idx="59">
                  <c:v>0.94374999999999998</c:v>
                </c:pt>
                <c:pt idx="60">
                  <c:v>0.95968749999999992</c:v>
                </c:pt>
                <c:pt idx="61">
                  <c:v>0.97562499999999985</c:v>
                </c:pt>
                <c:pt idx="62">
                  <c:v>0.99156249999999979</c:v>
                </c:pt>
                <c:pt idx="63">
                  <c:v>1.0074999999999998</c:v>
                </c:pt>
                <c:pt idx="64">
                  <c:v>1.0234374999999998</c:v>
                </c:pt>
                <c:pt idx="65">
                  <c:v>1.0393749999999997</c:v>
                </c:pt>
                <c:pt idx="66">
                  <c:v>1.0553124999999997</c:v>
                </c:pt>
                <c:pt idx="67">
                  <c:v>1.0712499999999996</c:v>
                </c:pt>
                <c:pt idx="68">
                  <c:v>1.0871874999999995</c:v>
                </c:pt>
                <c:pt idx="69">
                  <c:v>1.1031249999999995</c:v>
                </c:pt>
                <c:pt idx="70">
                  <c:v>1.1190624999999994</c:v>
                </c:pt>
                <c:pt idx="71">
                  <c:v>1.1349999999999993</c:v>
                </c:pt>
                <c:pt idx="72">
                  <c:v>1.1509374999999993</c:v>
                </c:pt>
                <c:pt idx="73">
                  <c:v>1.1668749999999992</c:v>
                </c:pt>
                <c:pt idx="74">
                  <c:v>1.1828124999999992</c:v>
                </c:pt>
                <c:pt idx="75">
                  <c:v>1.1987499999999991</c:v>
                </c:pt>
                <c:pt idx="76">
                  <c:v>1.214687499999999</c:v>
                </c:pt>
                <c:pt idx="77">
                  <c:v>1.230624999999999</c:v>
                </c:pt>
                <c:pt idx="78">
                  <c:v>1.2465624999999989</c:v>
                </c:pt>
                <c:pt idx="79">
                  <c:v>1.2624999999999988</c:v>
                </c:pt>
                <c:pt idx="80">
                  <c:v>1.2784374999999988</c:v>
                </c:pt>
                <c:pt idx="81">
                  <c:v>1.2943749999999987</c:v>
                </c:pt>
                <c:pt idx="82">
                  <c:v>1.3103124999999987</c:v>
                </c:pt>
                <c:pt idx="83">
                  <c:v>1.3262499999999986</c:v>
                </c:pt>
                <c:pt idx="84">
                  <c:v>1.3421874999999985</c:v>
                </c:pt>
                <c:pt idx="85">
                  <c:v>1.3581249999999985</c:v>
                </c:pt>
                <c:pt idx="86">
                  <c:v>1.3740624999999984</c:v>
                </c:pt>
                <c:pt idx="87">
                  <c:v>1.3899999999999983</c:v>
                </c:pt>
                <c:pt idx="88">
                  <c:v>1.4059999999999984</c:v>
                </c:pt>
                <c:pt idx="89">
                  <c:v>1.4219999999999984</c:v>
                </c:pt>
                <c:pt idx="90">
                  <c:v>1.4379999999999984</c:v>
                </c:pt>
                <c:pt idx="91">
                  <c:v>1.4539999999999984</c:v>
                </c:pt>
                <c:pt idx="92">
                  <c:v>1.4699999999999984</c:v>
                </c:pt>
                <c:pt idx="93">
                  <c:v>1.4859999999999984</c:v>
                </c:pt>
                <c:pt idx="94">
                  <c:v>1.5019999999999984</c:v>
                </c:pt>
                <c:pt idx="95">
                  <c:v>1.5179999999999985</c:v>
                </c:pt>
                <c:pt idx="96">
                  <c:v>1.5339999999999985</c:v>
                </c:pt>
                <c:pt idx="97">
                  <c:v>1.5499999999999985</c:v>
                </c:pt>
                <c:pt idx="98">
                  <c:v>1.5659999999999985</c:v>
                </c:pt>
                <c:pt idx="99">
                  <c:v>1.5819999999999985</c:v>
                </c:pt>
                <c:pt idx="100">
                  <c:v>1.5979999999999985</c:v>
                </c:pt>
                <c:pt idx="101">
                  <c:v>1.6139999999999985</c:v>
                </c:pt>
                <c:pt idx="102">
                  <c:v>1.6299999999999986</c:v>
                </c:pt>
                <c:pt idx="103">
                  <c:v>1.6459999999999986</c:v>
                </c:pt>
                <c:pt idx="104">
                  <c:v>1.6619999999999986</c:v>
                </c:pt>
                <c:pt idx="105">
                  <c:v>1.6779999999999986</c:v>
                </c:pt>
                <c:pt idx="106">
                  <c:v>1.6939999999999986</c:v>
                </c:pt>
                <c:pt idx="107">
                  <c:v>1.7099999999999986</c:v>
                </c:pt>
                <c:pt idx="108">
                  <c:v>1.7259999999999986</c:v>
                </c:pt>
                <c:pt idx="109">
                  <c:v>1.7419999999999987</c:v>
                </c:pt>
                <c:pt idx="110">
                  <c:v>1.7579999999999987</c:v>
                </c:pt>
                <c:pt idx="111">
                  <c:v>1.7739999999999987</c:v>
                </c:pt>
                <c:pt idx="112">
                  <c:v>1.7899999999999987</c:v>
                </c:pt>
                <c:pt idx="113">
                  <c:v>1.8059999999999987</c:v>
                </c:pt>
                <c:pt idx="114">
                  <c:v>1.8219999999999987</c:v>
                </c:pt>
                <c:pt idx="115">
                  <c:v>1.8379999999999987</c:v>
                </c:pt>
                <c:pt idx="116">
                  <c:v>1.8539999999999988</c:v>
                </c:pt>
                <c:pt idx="117">
                  <c:v>1.8699999999999988</c:v>
                </c:pt>
                <c:pt idx="118">
                  <c:v>1.8859459459459447</c:v>
                </c:pt>
                <c:pt idx="119">
                  <c:v>1.9018918918918906</c:v>
                </c:pt>
                <c:pt idx="120">
                  <c:v>1.9178378378378365</c:v>
                </c:pt>
                <c:pt idx="121">
                  <c:v>1.9337837837837824</c:v>
                </c:pt>
                <c:pt idx="122">
                  <c:v>1.9497297297297282</c:v>
                </c:pt>
                <c:pt idx="123">
                  <c:v>1.9656756756756741</c:v>
                </c:pt>
                <c:pt idx="124">
                  <c:v>1.98162162162162</c:v>
                </c:pt>
                <c:pt idx="125">
                  <c:v>1.9975675675675659</c:v>
                </c:pt>
                <c:pt idx="126">
                  <c:v>2.0135135135135118</c:v>
                </c:pt>
                <c:pt idx="127">
                  <c:v>2.0294594594594577</c:v>
                </c:pt>
                <c:pt idx="128">
                  <c:v>2.0454054054054036</c:v>
                </c:pt>
                <c:pt idx="129">
                  <c:v>2.0613513513513495</c:v>
                </c:pt>
                <c:pt idx="130">
                  <c:v>2.0772972972972954</c:v>
                </c:pt>
                <c:pt idx="131">
                  <c:v>2.0932432432432413</c:v>
                </c:pt>
                <c:pt idx="132">
                  <c:v>2.1091891891891872</c:v>
                </c:pt>
                <c:pt idx="133">
                  <c:v>2.1251351351351331</c:v>
                </c:pt>
                <c:pt idx="134">
                  <c:v>2.141081081081079</c:v>
                </c:pt>
                <c:pt idx="135">
                  <c:v>2.1570270270270249</c:v>
                </c:pt>
                <c:pt idx="136">
                  <c:v>2.1729729729729708</c:v>
                </c:pt>
                <c:pt idx="137">
                  <c:v>2.1889189189189167</c:v>
                </c:pt>
                <c:pt idx="138">
                  <c:v>2.2048648648648626</c:v>
                </c:pt>
                <c:pt idx="139">
                  <c:v>2.2208108108108084</c:v>
                </c:pt>
                <c:pt idx="140">
                  <c:v>2.2367567567567543</c:v>
                </c:pt>
                <c:pt idx="141">
                  <c:v>2.2527027027027002</c:v>
                </c:pt>
                <c:pt idx="142">
                  <c:v>2.2686486486486461</c:v>
                </c:pt>
                <c:pt idx="143">
                  <c:v>2.284594594594592</c:v>
                </c:pt>
                <c:pt idx="144">
                  <c:v>2.3005405405405379</c:v>
                </c:pt>
                <c:pt idx="145">
                  <c:v>2.3164864864864838</c:v>
                </c:pt>
                <c:pt idx="146">
                  <c:v>2.3324324324324297</c:v>
                </c:pt>
                <c:pt idx="147">
                  <c:v>2.3483783783783756</c:v>
                </c:pt>
                <c:pt idx="148">
                  <c:v>2.3643243243243215</c:v>
                </c:pt>
                <c:pt idx="149">
                  <c:v>2.3802702702702674</c:v>
                </c:pt>
                <c:pt idx="150">
                  <c:v>2.3962162162162133</c:v>
                </c:pt>
                <c:pt idx="151">
                  <c:v>2.4121621621621592</c:v>
                </c:pt>
                <c:pt idx="152">
                  <c:v>2.4281081081081051</c:v>
                </c:pt>
                <c:pt idx="153">
                  <c:v>2.444054054054051</c:v>
                </c:pt>
                <c:pt idx="154">
                  <c:v>2.4599999999999969</c:v>
                </c:pt>
                <c:pt idx="155">
                  <c:v>2.4755172413793072</c:v>
                </c:pt>
                <c:pt idx="156">
                  <c:v>2.4910344827586175</c:v>
                </c:pt>
                <c:pt idx="157">
                  <c:v>2.5065517241379278</c:v>
                </c:pt>
                <c:pt idx="158">
                  <c:v>2.5220689655172381</c:v>
                </c:pt>
                <c:pt idx="159">
                  <c:v>2.5375862068965485</c:v>
                </c:pt>
                <c:pt idx="160">
                  <c:v>2.5531034482758588</c:v>
                </c:pt>
                <c:pt idx="161">
                  <c:v>2.5686206896551691</c:v>
                </c:pt>
                <c:pt idx="162">
                  <c:v>2.5841379310344794</c:v>
                </c:pt>
                <c:pt idx="163">
                  <c:v>2.5996551724137897</c:v>
                </c:pt>
                <c:pt idx="164">
                  <c:v>2.6151724137931001</c:v>
                </c:pt>
                <c:pt idx="165">
                  <c:v>2.6306896551724104</c:v>
                </c:pt>
                <c:pt idx="166">
                  <c:v>2.6462068965517207</c:v>
                </c:pt>
                <c:pt idx="167">
                  <c:v>2.661724137931031</c:v>
                </c:pt>
                <c:pt idx="168">
                  <c:v>2.6772413793103413</c:v>
                </c:pt>
                <c:pt idx="169">
                  <c:v>2.6927586206896517</c:v>
                </c:pt>
                <c:pt idx="170">
                  <c:v>2.708275862068962</c:v>
                </c:pt>
                <c:pt idx="171">
                  <c:v>2.7237931034482723</c:v>
                </c:pt>
                <c:pt idx="172">
                  <c:v>2.7393103448275826</c:v>
                </c:pt>
                <c:pt idx="173">
                  <c:v>2.7548275862068929</c:v>
                </c:pt>
                <c:pt idx="174">
                  <c:v>2.7703448275862033</c:v>
                </c:pt>
                <c:pt idx="175">
                  <c:v>2.7858620689655136</c:v>
                </c:pt>
                <c:pt idx="176">
                  <c:v>2.8013793103448239</c:v>
                </c:pt>
                <c:pt idx="177">
                  <c:v>2.8168965517241342</c:v>
                </c:pt>
                <c:pt idx="178">
                  <c:v>2.8324137931034445</c:v>
                </c:pt>
                <c:pt idx="179">
                  <c:v>2.8479310344827549</c:v>
                </c:pt>
                <c:pt idx="180">
                  <c:v>2.8634482758620652</c:v>
                </c:pt>
                <c:pt idx="181">
                  <c:v>2.8789655172413755</c:v>
                </c:pt>
                <c:pt idx="182">
                  <c:v>2.8944827586206858</c:v>
                </c:pt>
                <c:pt idx="183">
                  <c:v>2.9099999999999961</c:v>
                </c:pt>
                <c:pt idx="184">
                  <c:v>2.9249999999999963</c:v>
                </c:pt>
                <c:pt idx="185">
                  <c:v>2.9399999999999964</c:v>
                </c:pt>
                <c:pt idx="186">
                  <c:v>2.9549999999999965</c:v>
                </c:pt>
                <c:pt idx="187">
                  <c:v>2.9699999999999966</c:v>
                </c:pt>
                <c:pt idx="188">
                  <c:v>2.9849999999999968</c:v>
                </c:pt>
                <c:pt idx="189">
                  <c:v>2.9999999999999969</c:v>
                </c:pt>
                <c:pt idx="190">
                  <c:v>3.014999999999997</c:v>
                </c:pt>
                <c:pt idx="191">
                  <c:v>3.0299999999999971</c:v>
                </c:pt>
                <c:pt idx="192">
                  <c:v>3.0449999999999973</c:v>
                </c:pt>
                <c:pt idx="193">
                  <c:v>3.0599999999999974</c:v>
                </c:pt>
                <c:pt idx="194">
                  <c:v>3.0749999999999975</c:v>
                </c:pt>
                <c:pt idx="195">
                  <c:v>3.0899999999999976</c:v>
                </c:pt>
                <c:pt idx="196">
                  <c:v>3.1049999999999978</c:v>
                </c:pt>
                <c:pt idx="197">
                  <c:v>3.1199999999999979</c:v>
                </c:pt>
                <c:pt idx="198">
                  <c:v>3.134999999999998</c:v>
                </c:pt>
                <c:pt idx="199">
                  <c:v>3.1499999999999981</c:v>
                </c:pt>
                <c:pt idx="200">
                  <c:v>3.1649999999999983</c:v>
                </c:pt>
                <c:pt idx="201">
                  <c:v>3.1799999999999984</c:v>
                </c:pt>
                <c:pt idx="202">
                  <c:v>3.1949999999999985</c:v>
                </c:pt>
                <c:pt idx="203">
                  <c:v>3.2099999999999986</c:v>
                </c:pt>
                <c:pt idx="204">
                  <c:v>3.2249999999999988</c:v>
                </c:pt>
                <c:pt idx="205">
                  <c:v>3.2399999999999989</c:v>
                </c:pt>
                <c:pt idx="206">
                  <c:v>3.254999999999999</c:v>
                </c:pt>
                <c:pt idx="207">
                  <c:v>3.2699999999999991</c:v>
                </c:pt>
                <c:pt idx="208">
                  <c:v>3.2849999999999993</c:v>
                </c:pt>
                <c:pt idx="209">
                  <c:v>3.2999999999999994</c:v>
                </c:pt>
                <c:pt idx="210">
                  <c:v>3.3149999999999995</c:v>
                </c:pt>
                <c:pt idx="211">
                  <c:v>3.3299999999999996</c:v>
                </c:pt>
                <c:pt idx="212">
                  <c:v>3.3449999999999998</c:v>
                </c:pt>
                <c:pt idx="213">
                  <c:v>3.36</c:v>
                </c:pt>
                <c:pt idx="214">
                  <c:v>3.375</c:v>
                </c:pt>
                <c:pt idx="215">
                  <c:v>3.39</c:v>
                </c:pt>
                <c:pt idx="216">
                  <c:v>3.4050000000000002</c:v>
                </c:pt>
                <c:pt idx="217">
                  <c:v>3.4200000000000004</c:v>
                </c:pt>
                <c:pt idx="218">
                  <c:v>3.4350000000000005</c:v>
                </c:pt>
                <c:pt idx="219">
                  <c:v>3.4500000000000006</c:v>
                </c:pt>
                <c:pt idx="220">
                  <c:v>3.4650000000000007</c:v>
                </c:pt>
                <c:pt idx="221">
                  <c:v>3.4800000000000009</c:v>
                </c:pt>
                <c:pt idx="222">
                  <c:v>3.495000000000001</c:v>
                </c:pt>
                <c:pt idx="223">
                  <c:v>3.5100000000000011</c:v>
                </c:pt>
                <c:pt idx="224">
                  <c:v>3.5250000000000012</c:v>
                </c:pt>
                <c:pt idx="225">
                  <c:v>3.5400000000000014</c:v>
                </c:pt>
                <c:pt idx="226">
                  <c:v>3.5550000000000015</c:v>
                </c:pt>
                <c:pt idx="227">
                  <c:v>3.5700000000000016</c:v>
                </c:pt>
                <c:pt idx="228">
                  <c:v>3.5850000000000017</c:v>
                </c:pt>
                <c:pt idx="229">
                  <c:v>3.6000000000000019</c:v>
                </c:pt>
                <c:pt idx="230">
                  <c:v>3.615000000000002</c:v>
                </c:pt>
                <c:pt idx="231">
                  <c:v>3.6300000000000021</c:v>
                </c:pt>
                <c:pt idx="232">
                  <c:v>3.6450000000000022</c:v>
                </c:pt>
                <c:pt idx="233">
                  <c:v>3.6600000000000024</c:v>
                </c:pt>
                <c:pt idx="234">
                  <c:v>3.6750000000000025</c:v>
                </c:pt>
                <c:pt idx="235">
                  <c:v>3.6900000000000026</c:v>
                </c:pt>
                <c:pt idx="236">
                  <c:v>3.7050000000000027</c:v>
                </c:pt>
                <c:pt idx="237">
                  <c:v>3.7200000000000029</c:v>
                </c:pt>
                <c:pt idx="238">
                  <c:v>3.735000000000003</c:v>
                </c:pt>
                <c:pt idx="239">
                  <c:v>3.7500000000000031</c:v>
                </c:pt>
                <c:pt idx="240">
                  <c:v>3.7650000000000032</c:v>
                </c:pt>
                <c:pt idx="241">
                  <c:v>3.7800000000000034</c:v>
                </c:pt>
                <c:pt idx="242">
                  <c:v>3.7940909090909125</c:v>
                </c:pt>
                <c:pt idx="243">
                  <c:v>3.8081818181818217</c:v>
                </c:pt>
                <c:pt idx="244">
                  <c:v>3.8222727272727308</c:v>
                </c:pt>
                <c:pt idx="245">
                  <c:v>3.83636363636364</c:v>
                </c:pt>
                <c:pt idx="246">
                  <c:v>3.8504545454545491</c:v>
                </c:pt>
                <c:pt idx="247">
                  <c:v>3.8645454545454583</c:v>
                </c:pt>
                <c:pt idx="248">
                  <c:v>3.8786363636363674</c:v>
                </c:pt>
                <c:pt idx="249">
                  <c:v>3.8927272727272766</c:v>
                </c:pt>
                <c:pt idx="250">
                  <c:v>3.9068181818181857</c:v>
                </c:pt>
                <c:pt idx="251">
                  <c:v>3.9209090909090949</c:v>
                </c:pt>
                <c:pt idx="252">
                  <c:v>3.9350000000000041</c:v>
                </c:pt>
                <c:pt idx="253">
                  <c:v>3.9490909090909132</c:v>
                </c:pt>
                <c:pt idx="254">
                  <c:v>3.9631818181818224</c:v>
                </c:pt>
                <c:pt idx="255">
                  <c:v>3.9772727272727315</c:v>
                </c:pt>
                <c:pt idx="256">
                  <c:v>3.9913636363636407</c:v>
                </c:pt>
                <c:pt idx="257">
                  <c:v>4.0054545454545494</c:v>
                </c:pt>
                <c:pt idx="258">
                  <c:v>4.0195454545454581</c:v>
                </c:pt>
                <c:pt idx="259">
                  <c:v>4.0336363636363668</c:v>
                </c:pt>
                <c:pt idx="260">
                  <c:v>4.0477272727272755</c:v>
                </c:pt>
                <c:pt idx="261">
                  <c:v>4.0618181818181842</c:v>
                </c:pt>
                <c:pt idx="262">
                  <c:v>4.0759090909090929</c:v>
                </c:pt>
                <c:pt idx="263">
                  <c:v>4.0900000000000016</c:v>
                </c:pt>
                <c:pt idx="264">
                  <c:v>4.1035000000000013</c:v>
                </c:pt>
                <c:pt idx="265">
                  <c:v>4.1170000000000009</c:v>
                </c:pt>
                <c:pt idx="266">
                  <c:v>4.1305000000000005</c:v>
                </c:pt>
                <c:pt idx="267">
                  <c:v>4.1440000000000001</c:v>
                </c:pt>
                <c:pt idx="268">
                  <c:v>4.1574999999999998</c:v>
                </c:pt>
                <c:pt idx="269">
                  <c:v>4.1709999999999994</c:v>
                </c:pt>
                <c:pt idx="270">
                  <c:v>4.184499999999999</c:v>
                </c:pt>
                <c:pt idx="271">
                  <c:v>4.1979999999999986</c:v>
                </c:pt>
                <c:pt idx="272">
                  <c:v>4.2114999999999982</c:v>
                </c:pt>
                <c:pt idx="273">
                  <c:v>4.2249999999999979</c:v>
                </c:pt>
                <c:pt idx="274">
                  <c:v>4.2384999999999975</c:v>
                </c:pt>
                <c:pt idx="275">
                  <c:v>4.2519999999999971</c:v>
                </c:pt>
                <c:pt idx="276">
                  <c:v>4.2654999999999967</c:v>
                </c:pt>
                <c:pt idx="277">
                  <c:v>4.2789999999999964</c:v>
                </c:pt>
                <c:pt idx="278">
                  <c:v>4.292499999999996</c:v>
                </c:pt>
                <c:pt idx="279">
                  <c:v>4.3059999999999956</c:v>
                </c:pt>
                <c:pt idx="280">
                  <c:v>4.3194999999999952</c:v>
                </c:pt>
                <c:pt idx="281">
                  <c:v>4.3329999999999949</c:v>
                </c:pt>
                <c:pt idx="282">
                  <c:v>4.3464999999999945</c:v>
                </c:pt>
                <c:pt idx="283">
                  <c:v>4.3599999999999941</c:v>
                </c:pt>
                <c:pt idx="284">
                  <c:v>4.3731249999999937</c:v>
                </c:pt>
                <c:pt idx="285">
                  <c:v>4.3862499999999933</c:v>
                </c:pt>
                <c:pt idx="286">
                  <c:v>4.3993749999999929</c:v>
                </c:pt>
                <c:pt idx="287">
                  <c:v>4.4124999999999925</c:v>
                </c:pt>
                <c:pt idx="288">
                  <c:v>4.4256249999999921</c:v>
                </c:pt>
                <c:pt idx="289">
                  <c:v>4.4387499999999918</c:v>
                </c:pt>
                <c:pt idx="290">
                  <c:v>4.4518749999999914</c:v>
                </c:pt>
                <c:pt idx="291">
                  <c:v>4.464999999999991</c:v>
                </c:pt>
                <c:pt idx="292">
                  <c:v>4.4781249999999906</c:v>
                </c:pt>
                <c:pt idx="293">
                  <c:v>4.4912499999999902</c:v>
                </c:pt>
                <c:pt idx="294">
                  <c:v>4.5043749999999898</c:v>
                </c:pt>
                <c:pt idx="295">
                  <c:v>4.5174999999999894</c:v>
                </c:pt>
                <c:pt idx="296">
                  <c:v>4.530624999999989</c:v>
                </c:pt>
                <c:pt idx="297">
                  <c:v>4.5437499999999886</c:v>
                </c:pt>
                <c:pt idx="298">
                  <c:v>4.5568749999999882</c:v>
                </c:pt>
                <c:pt idx="299">
                  <c:v>4.5699999999999878</c:v>
                </c:pt>
                <c:pt idx="300">
                  <c:v>4.5833333333333215</c:v>
                </c:pt>
                <c:pt idx="301">
                  <c:v>4.5966666666666551</c:v>
                </c:pt>
                <c:pt idx="302">
                  <c:v>4.6099999999999888</c:v>
                </c:pt>
                <c:pt idx="303">
                  <c:v>4.6233333333333224</c:v>
                </c:pt>
                <c:pt idx="304">
                  <c:v>4.6366666666666561</c:v>
                </c:pt>
                <c:pt idx="305">
                  <c:v>4.6499999999999897</c:v>
                </c:pt>
                <c:pt idx="306">
                  <c:v>4.6633333333333233</c:v>
                </c:pt>
                <c:pt idx="307">
                  <c:v>4.676666666666657</c:v>
                </c:pt>
                <c:pt idx="308">
                  <c:v>4.6899999999999906</c:v>
                </c:pt>
                <c:pt idx="309">
                  <c:v>4.7033333333333243</c:v>
                </c:pt>
                <c:pt idx="310">
                  <c:v>4.7166666666666579</c:v>
                </c:pt>
                <c:pt idx="311">
                  <c:v>4.7299999999999915</c:v>
                </c:pt>
              </c:numCache>
            </c:numRef>
          </c:xVal>
          <c:yVal>
            <c:numRef>
              <c:f>'plot saw freq vs dpa'!$E$2:$E$356</c:f>
              <c:numCache>
                <c:formatCode>0.00E+00</c:formatCode>
                <c:ptCount val="355"/>
                <c:pt idx="0">
                  <c:v>725629860</c:v>
                </c:pt>
                <c:pt idx="1">
                  <c:v>725442260</c:v>
                </c:pt>
                <c:pt idx="2">
                  <c:v>725398030</c:v>
                </c:pt>
                <c:pt idx="3">
                  <c:v>725156080</c:v>
                </c:pt>
                <c:pt idx="4">
                  <c:v>724736280</c:v>
                </c:pt>
                <c:pt idx="5">
                  <c:v>724714580</c:v>
                </c:pt>
                <c:pt idx="6">
                  <c:v>724710850</c:v>
                </c:pt>
                <c:pt idx="7">
                  <c:v>724520780</c:v>
                </c:pt>
                <c:pt idx="8">
                  <c:v>724635190</c:v>
                </c:pt>
                <c:pt idx="9">
                  <c:v>724743700</c:v>
                </c:pt>
                <c:pt idx="10">
                  <c:v>724779510</c:v>
                </c:pt>
                <c:pt idx="11">
                  <c:v>724657970</c:v>
                </c:pt>
                <c:pt idx="12">
                  <c:v>724530140</c:v>
                </c:pt>
                <c:pt idx="13">
                  <c:v>724882610</c:v>
                </c:pt>
                <c:pt idx="14">
                  <c:v>724798980</c:v>
                </c:pt>
                <c:pt idx="15">
                  <c:v>724784640</c:v>
                </c:pt>
                <c:pt idx="16">
                  <c:v>724777370</c:v>
                </c:pt>
                <c:pt idx="17">
                  <c:v>724750090</c:v>
                </c:pt>
                <c:pt idx="18">
                  <c:v>724602510</c:v>
                </c:pt>
                <c:pt idx="19">
                  <c:v>724557600</c:v>
                </c:pt>
                <c:pt idx="20">
                  <c:v>724598700</c:v>
                </c:pt>
                <c:pt idx="21">
                  <c:v>725012140</c:v>
                </c:pt>
                <c:pt idx="22">
                  <c:v>724838580</c:v>
                </c:pt>
                <c:pt idx="23">
                  <c:v>724791960</c:v>
                </c:pt>
                <c:pt idx="24">
                  <c:v>724867700</c:v>
                </c:pt>
                <c:pt idx="25">
                  <c:v>724820770</c:v>
                </c:pt>
                <c:pt idx="26">
                  <c:v>724950100</c:v>
                </c:pt>
                <c:pt idx="27">
                  <c:v>724812770</c:v>
                </c:pt>
                <c:pt idx="28">
                  <c:v>724658020</c:v>
                </c:pt>
                <c:pt idx="29">
                  <c:v>724635220</c:v>
                </c:pt>
                <c:pt idx="30">
                  <c:v>724811090</c:v>
                </c:pt>
                <c:pt idx="31">
                  <c:v>724719440</c:v>
                </c:pt>
                <c:pt idx="32">
                  <c:v>725013190</c:v>
                </c:pt>
                <c:pt idx="33">
                  <c:v>725197220</c:v>
                </c:pt>
                <c:pt idx="34">
                  <c:v>725387520</c:v>
                </c:pt>
                <c:pt idx="35">
                  <c:v>725389240</c:v>
                </c:pt>
                <c:pt idx="36">
                  <c:v>725165200</c:v>
                </c:pt>
                <c:pt idx="37">
                  <c:v>724989260</c:v>
                </c:pt>
                <c:pt idx="38">
                  <c:v>725242770</c:v>
                </c:pt>
                <c:pt idx="39">
                  <c:v>725109550</c:v>
                </c:pt>
                <c:pt idx="40">
                  <c:v>725215010</c:v>
                </c:pt>
                <c:pt idx="41">
                  <c:v>725034610</c:v>
                </c:pt>
                <c:pt idx="42">
                  <c:v>725239090</c:v>
                </c:pt>
                <c:pt idx="43">
                  <c:v>725016230</c:v>
                </c:pt>
                <c:pt idx="44">
                  <c:v>725417640</c:v>
                </c:pt>
                <c:pt idx="45">
                  <c:v>725003030</c:v>
                </c:pt>
                <c:pt idx="46">
                  <c:v>725154230</c:v>
                </c:pt>
                <c:pt idx="47">
                  <c:v>725081800</c:v>
                </c:pt>
                <c:pt idx="48">
                  <c:v>725113160</c:v>
                </c:pt>
                <c:pt idx="49">
                  <c:v>725179910</c:v>
                </c:pt>
                <c:pt idx="50">
                  <c:v>725269150</c:v>
                </c:pt>
                <c:pt idx="51">
                  <c:v>725321180</c:v>
                </c:pt>
                <c:pt idx="52">
                  <c:v>725185360</c:v>
                </c:pt>
                <c:pt idx="53">
                  <c:v>725398050</c:v>
                </c:pt>
                <c:pt idx="54">
                  <c:v>725330860</c:v>
                </c:pt>
                <c:pt idx="55">
                  <c:v>725221960</c:v>
                </c:pt>
                <c:pt idx="56">
                  <c:v>725074360</c:v>
                </c:pt>
                <c:pt idx="57">
                  <c:v>725608920</c:v>
                </c:pt>
                <c:pt idx="58">
                  <c:v>725393910</c:v>
                </c:pt>
                <c:pt idx="59">
                  <c:v>725405650</c:v>
                </c:pt>
                <c:pt idx="60">
                  <c:v>725551920</c:v>
                </c:pt>
                <c:pt idx="61">
                  <c:v>725195570</c:v>
                </c:pt>
                <c:pt idx="62">
                  <c:v>725389500</c:v>
                </c:pt>
                <c:pt idx="63">
                  <c:v>725511810</c:v>
                </c:pt>
                <c:pt idx="64">
                  <c:v>725324640</c:v>
                </c:pt>
                <c:pt idx="65">
                  <c:v>725281440</c:v>
                </c:pt>
                <c:pt idx="66">
                  <c:v>725260920</c:v>
                </c:pt>
                <c:pt idx="67">
                  <c:v>725245780</c:v>
                </c:pt>
                <c:pt idx="68">
                  <c:v>725573050</c:v>
                </c:pt>
                <c:pt idx="69">
                  <c:v>725538260</c:v>
                </c:pt>
                <c:pt idx="70">
                  <c:v>725657030</c:v>
                </c:pt>
                <c:pt idx="71">
                  <c:v>725465510</c:v>
                </c:pt>
                <c:pt idx="72">
                  <c:v>725425960</c:v>
                </c:pt>
                <c:pt idx="73">
                  <c:v>725414810</c:v>
                </c:pt>
                <c:pt idx="74">
                  <c:v>725429030</c:v>
                </c:pt>
                <c:pt idx="75">
                  <c:v>725309260</c:v>
                </c:pt>
                <c:pt idx="76">
                  <c:v>725589780</c:v>
                </c:pt>
                <c:pt idx="77">
                  <c:v>725612630</c:v>
                </c:pt>
                <c:pt idx="78">
                  <c:v>725708550</c:v>
                </c:pt>
                <c:pt idx="79">
                  <c:v>725605580</c:v>
                </c:pt>
                <c:pt idx="80">
                  <c:v>725644490</c:v>
                </c:pt>
                <c:pt idx="81">
                  <c:v>725793320</c:v>
                </c:pt>
                <c:pt idx="82">
                  <c:v>725847720</c:v>
                </c:pt>
                <c:pt idx="83">
                  <c:v>725661630</c:v>
                </c:pt>
                <c:pt idx="84">
                  <c:v>725676400</c:v>
                </c:pt>
                <c:pt idx="85">
                  <c:v>725726860</c:v>
                </c:pt>
                <c:pt idx="86">
                  <c:v>725851190</c:v>
                </c:pt>
                <c:pt idx="87">
                  <c:v>725635520</c:v>
                </c:pt>
                <c:pt idx="88">
                  <c:v>725811860</c:v>
                </c:pt>
                <c:pt idx="89">
                  <c:v>725902000</c:v>
                </c:pt>
                <c:pt idx="90">
                  <c:v>726007490</c:v>
                </c:pt>
                <c:pt idx="91">
                  <c:v>725976070</c:v>
                </c:pt>
                <c:pt idx="92">
                  <c:v>725962340</c:v>
                </c:pt>
                <c:pt idx="93">
                  <c:v>725974730</c:v>
                </c:pt>
                <c:pt idx="94">
                  <c:v>725952650</c:v>
                </c:pt>
                <c:pt idx="95">
                  <c:v>726219430</c:v>
                </c:pt>
                <c:pt idx="96">
                  <c:v>725991650</c:v>
                </c:pt>
                <c:pt idx="97">
                  <c:v>725968960</c:v>
                </c:pt>
                <c:pt idx="98">
                  <c:v>725775330</c:v>
                </c:pt>
                <c:pt idx="99">
                  <c:v>726077270</c:v>
                </c:pt>
                <c:pt idx="100">
                  <c:v>725906150</c:v>
                </c:pt>
                <c:pt idx="101">
                  <c:v>726087330</c:v>
                </c:pt>
                <c:pt idx="102">
                  <c:v>725917540</c:v>
                </c:pt>
                <c:pt idx="103">
                  <c:v>725981020</c:v>
                </c:pt>
                <c:pt idx="104">
                  <c:v>726001890</c:v>
                </c:pt>
                <c:pt idx="105">
                  <c:v>725757710</c:v>
                </c:pt>
                <c:pt idx="106">
                  <c:v>726214610</c:v>
                </c:pt>
                <c:pt idx="107">
                  <c:v>726166540</c:v>
                </c:pt>
                <c:pt idx="108">
                  <c:v>726208880</c:v>
                </c:pt>
                <c:pt idx="109">
                  <c:v>726251900</c:v>
                </c:pt>
                <c:pt idx="110">
                  <c:v>726160330</c:v>
                </c:pt>
                <c:pt idx="111">
                  <c:v>726510030</c:v>
                </c:pt>
                <c:pt idx="112">
                  <c:v>726177430</c:v>
                </c:pt>
                <c:pt idx="113">
                  <c:v>726202880</c:v>
                </c:pt>
                <c:pt idx="114">
                  <c:v>726182060</c:v>
                </c:pt>
                <c:pt idx="115">
                  <c:v>726211880</c:v>
                </c:pt>
                <c:pt idx="116">
                  <c:v>725992750</c:v>
                </c:pt>
                <c:pt idx="117">
                  <c:v>726086160</c:v>
                </c:pt>
                <c:pt idx="118">
                  <c:v>726102900</c:v>
                </c:pt>
                <c:pt idx="119">
                  <c:v>726111070</c:v>
                </c:pt>
                <c:pt idx="120">
                  <c:v>726472460</c:v>
                </c:pt>
                <c:pt idx="121">
                  <c:v>726111570</c:v>
                </c:pt>
                <c:pt idx="122">
                  <c:v>726349890</c:v>
                </c:pt>
                <c:pt idx="123">
                  <c:v>726227330</c:v>
                </c:pt>
                <c:pt idx="124">
                  <c:v>726418370</c:v>
                </c:pt>
                <c:pt idx="125">
                  <c:v>726311930</c:v>
                </c:pt>
                <c:pt idx="126">
                  <c:v>726330160</c:v>
                </c:pt>
                <c:pt idx="127">
                  <c:v>726539660</c:v>
                </c:pt>
                <c:pt idx="128">
                  <c:v>726275340</c:v>
                </c:pt>
                <c:pt idx="129">
                  <c:v>726154100</c:v>
                </c:pt>
                <c:pt idx="130">
                  <c:v>726202980</c:v>
                </c:pt>
                <c:pt idx="131">
                  <c:v>726338210</c:v>
                </c:pt>
                <c:pt idx="132">
                  <c:v>726416840</c:v>
                </c:pt>
                <c:pt idx="133">
                  <c:v>726322400</c:v>
                </c:pt>
                <c:pt idx="134">
                  <c:v>726396930</c:v>
                </c:pt>
                <c:pt idx="135">
                  <c:v>726530380</c:v>
                </c:pt>
                <c:pt idx="136">
                  <c:v>726583180</c:v>
                </c:pt>
                <c:pt idx="137">
                  <c:v>726453950</c:v>
                </c:pt>
                <c:pt idx="138">
                  <c:v>726600700</c:v>
                </c:pt>
                <c:pt idx="139">
                  <c:v>726687500</c:v>
                </c:pt>
                <c:pt idx="140">
                  <c:v>726325260</c:v>
                </c:pt>
                <c:pt idx="141">
                  <c:v>726428350</c:v>
                </c:pt>
                <c:pt idx="142">
                  <c:v>726158460</c:v>
                </c:pt>
                <c:pt idx="143">
                  <c:v>726441680</c:v>
                </c:pt>
                <c:pt idx="144">
                  <c:v>726786170</c:v>
                </c:pt>
                <c:pt idx="145">
                  <c:v>726613940</c:v>
                </c:pt>
                <c:pt idx="146">
                  <c:v>726531730</c:v>
                </c:pt>
                <c:pt idx="147">
                  <c:v>726742480</c:v>
                </c:pt>
                <c:pt idx="148">
                  <c:v>726675050</c:v>
                </c:pt>
                <c:pt idx="149">
                  <c:v>727011880</c:v>
                </c:pt>
                <c:pt idx="150">
                  <c:v>726653080</c:v>
                </c:pt>
                <c:pt idx="151">
                  <c:v>726716210</c:v>
                </c:pt>
                <c:pt idx="152">
                  <c:v>726639160</c:v>
                </c:pt>
                <c:pt idx="153">
                  <c:v>726886670</c:v>
                </c:pt>
                <c:pt idx="154">
                  <c:v>727034640</c:v>
                </c:pt>
                <c:pt idx="155">
                  <c:v>726652470</c:v>
                </c:pt>
                <c:pt idx="156">
                  <c:v>726974560</c:v>
                </c:pt>
                <c:pt idx="157">
                  <c:v>727108510</c:v>
                </c:pt>
                <c:pt idx="158">
                  <c:v>726628240</c:v>
                </c:pt>
                <c:pt idx="159">
                  <c:v>726746140</c:v>
                </c:pt>
                <c:pt idx="160">
                  <c:v>726939660</c:v>
                </c:pt>
                <c:pt idx="161">
                  <c:v>727249370</c:v>
                </c:pt>
                <c:pt idx="162">
                  <c:v>726919520</c:v>
                </c:pt>
                <c:pt idx="163">
                  <c:v>726708100</c:v>
                </c:pt>
                <c:pt idx="164">
                  <c:v>727295710</c:v>
                </c:pt>
                <c:pt idx="165">
                  <c:v>727288450</c:v>
                </c:pt>
                <c:pt idx="166">
                  <c:v>727195950</c:v>
                </c:pt>
                <c:pt idx="167">
                  <c:v>727122730</c:v>
                </c:pt>
                <c:pt idx="168">
                  <c:v>727062770</c:v>
                </c:pt>
                <c:pt idx="169">
                  <c:v>727027710</c:v>
                </c:pt>
                <c:pt idx="170">
                  <c:v>727105060</c:v>
                </c:pt>
                <c:pt idx="171">
                  <c:v>727169480</c:v>
                </c:pt>
                <c:pt idx="172">
                  <c:v>727081120</c:v>
                </c:pt>
                <c:pt idx="173">
                  <c:v>727098160</c:v>
                </c:pt>
                <c:pt idx="174">
                  <c:v>727115870</c:v>
                </c:pt>
                <c:pt idx="175">
                  <c:v>726873530</c:v>
                </c:pt>
                <c:pt idx="176">
                  <c:v>727155240</c:v>
                </c:pt>
                <c:pt idx="177">
                  <c:v>727062810</c:v>
                </c:pt>
                <c:pt idx="178">
                  <c:v>727376310</c:v>
                </c:pt>
                <c:pt idx="179">
                  <c:v>727186130</c:v>
                </c:pt>
                <c:pt idx="180">
                  <c:v>727321100</c:v>
                </c:pt>
                <c:pt idx="181">
                  <c:v>727168760</c:v>
                </c:pt>
                <c:pt idx="182">
                  <c:v>727207260</c:v>
                </c:pt>
                <c:pt idx="183">
                  <c:v>727123830</c:v>
                </c:pt>
                <c:pt idx="184">
                  <c:v>727359000</c:v>
                </c:pt>
                <c:pt idx="185">
                  <c:v>727156600</c:v>
                </c:pt>
                <c:pt idx="186">
                  <c:v>727111310</c:v>
                </c:pt>
                <c:pt idx="187">
                  <c:v>727572400</c:v>
                </c:pt>
                <c:pt idx="188">
                  <c:v>727489650</c:v>
                </c:pt>
                <c:pt idx="189">
                  <c:v>727319260</c:v>
                </c:pt>
                <c:pt idx="190">
                  <c:v>727608310</c:v>
                </c:pt>
                <c:pt idx="191">
                  <c:v>727501270</c:v>
                </c:pt>
                <c:pt idx="192">
                  <c:v>727458920</c:v>
                </c:pt>
                <c:pt idx="193">
                  <c:v>727333540</c:v>
                </c:pt>
                <c:pt idx="194">
                  <c:v>727266920</c:v>
                </c:pt>
                <c:pt idx="195">
                  <c:v>727467180</c:v>
                </c:pt>
                <c:pt idx="196">
                  <c:v>727249660</c:v>
                </c:pt>
                <c:pt idx="197">
                  <c:v>727585910</c:v>
                </c:pt>
                <c:pt idx="198">
                  <c:v>727593820</c:v>
                </c:pt>
                <c:pt idx="199">
                  <c:v>727601700</c:v>
                </c:pt>
                <c:pt idx="200">
                  <c:v>727510170</c:v>
                </c:pt>
                <c:pt idx="201">
                  <c:v>727594940</c:v>
                </c:pt>
                <c:pt idx="202">
                  <c:v>727172750</c:v>
                </c:pt>
                <c:pt idx="203">
                  <c:v>727560530</c:v>
                </c:pt>
                <c:pt idx="204">
                  <c:v>727484300</c:v>
                </c:pt>
                <c:pt idx="205">
                  <c:v>727489400</c:v>
                </c:pt>
                <c:pt idx="206">
                  <c:v>727341060</c:v>
                </c:pt>
                <c:pt idx="207">
                  <c:v>727178530</c:v>
                </c:pt>
                <c:pt idx="208">
                  <c:v>727430880</c:v>
                </c:pt>
                <c:pt idx="209">
                  <c:v>727613320</c:v>
                </c:pt>
                <c:pt idx="210">
                  <c:v>727587000</c:v>
                </c:pt>
                <c:pt idx="211">
                  <c:v>727353060</c:v>
                </c:pt>
                <c:pt idx="212">
                  <c:v>727497760</c:v>
                </c:pt>
                <c:pt idx="213">
                  <c:v>727719370</c:v>
                </c:pt>
                <c:pt idx="214">
                  <c:v>727607700</c:v>
                </c:pt>
                <c:pt idx="215">
                  <c:v>727901390</c:v>
                </c:pt>
                <c:pt idx="216">
                  <c:v>727558490</c:v>
                </c:pt>
                <c:pt idx="217">
                  <c:v>727893800</c:v>
                </c:pt>
                <c:pt idx="218">
                  <c:v>727798890</c:v>
                </c:pt>
                <c:pt idx="219">
                  <c:v>727591170</c:v>
                </c:pt>
                <c:pt idx="220">
                  <c:v>727940610</c:v>
                </c:pt>
                <c:pt idx="221">
                  <c:v>727883180</c:v>
                </c:pt>
                <c:pt idx="222">
                  <c:v>727831980</c:v>
                </c:pt>
                <c:pt idx="223">
                  <c:v>727654160</c:v>
                </c:pt>
                <c:pt idx="224">
                  <c:v>727910090</c:v>
                </c:pt>
                <c:pt idx="225">
                  <c:v>727889310</c:v>
                </c:pt>
                <c:pt idx="226">
                  <c:v>727849940</c:v>
                </c:pt>
                <c:pt idx="227">
                  <c:v>727626620</c:v>
                </c:pt>
                <c:pt idx="228">
                  <c:v>727841180</c:v>
                </c:pt>
                <c:pt idx="229">
                  <c:v>727790030</c:v>
                </c:pt>
                <c:pt idx="230">
                  <c:v>727883990</c:v>
                </c:pt>
                <c:pt idx="231">
                  <c:v>727958890</c:v>
                </c:pt>
                <c:pt idx="232">
                  <c:v>728073210</c:v>
                </c:pt>
                <c:pt idx="233">
                  <c:v>727355310</c:v>
                </c:pt>
                <c:pt idx="234">
                  <c:v>727870120</c:v>
                </c:pt>
                <c:pt idx="235">
                  <c:v>727883060</c:v>
                </c:pt>
                <c:pt idx="236">
                  <c:v>728066100</c:v>
                </c:pt>
                <c:pt idx="237">
                  <c:v>728012050</c:v>
                </c:pt>
                <c:pt idx="238">
                  <c:v>728082870</c:v>
                </c:pt>
                <c:pt idx="239">
                  <c:v>727898880</c:v>
                </c:pt>
                <c:pt idx="240">
                  <c:v>728119370</c:v>
                </c:pt>
                <c:pt idx="241">
                  <c:v>727627470</c:v>
                </c:pt>
                <c:pt idx="242">
                  <c:v>728035180</c:v>
                </c:pt>
                <c:pt idx="243">
                  <c:v>727893030</c:v>
                </c:pt>
                <c:pt idx="244">
                  <c:v>728085120</c:v>
                </c:pt>
                <c:pt idx="245">
                  <c:v>728320270</c:v>
                </c:pt>
                <c:pt idx="246">
                  <c:v>727998460</c:v>
                </c:pt>
                <c:pt idx="247">
                  <c:v>728231230</c:v>
                </c:pt>
                <c:pt idx="248">
                  <c:v>728194750</c:v>
                </c:pt>
                <c:pt idx="249">
                  <c:v>728265570</c:v>
                </c:pt>
                <c:pt idx="250">
                  <c:v>728315960</c:v>
                </c:pt>
                <c:pt idx="251">
                  <c:v>727914890</c:v>
                </c:pt>
                <c:pt idx="252">
                  <c:v>728069200</c:v>
                </c:pt>
                <c:pt idx="253">
                  <c:v>727978830</c:v>
                </c:pt>
                <c:pt idx="254">
                  <c:v>728165890</c:v>
                </c:pt>
                <c:pt idx="255">
                  <c:v>727995430</c:v>
                </c:pt>
                <c:pt idx="256">
                  <c:v>728176740</c:v>
                </c:pt>
                <c:pt idx="257">
                  <c:v>728301070</c:v>
                </c:pt>
                <c:pt idx="258">
                  <c:v>728004800</c:v>
                </c:pt>
                <c:pt idx="259">
                  <c:v>727898190</c:v>
                </c:pt>
                <c:pt idx="260">
                  <c:v>728659370</c:v>
                </c:pt>
                <c:pt idx="261">
                  <c:v>728170580</c:v>
                </c:pt>
                <c:pt idx="262">
                  <c:v>728459050</c:v>
                </c:pt>
                <c:pt idx="263">
                  <c:v>728192720</c:v>
                </c:pt>
                <c:pt idx="264">
                  <c:v>728065820</c:v>
                </c:pt>
                <c:pt idx="265">
                  <c:v>728172000</c:v>
                </c:pt>
                <c:pt idx="266">
                  <c:v>728374120</c:v>
                </c:pt>
                <c:pt idx="267">
                  <c:v>728273740</c:v>
                </c:pt>
                <c:pt idx="268">
                  <c:v>728209710</c:v>
                </c:pt>
                <c:pt idx="269">
                  <c:v>728357170</c:v>
                </c:pt>
                <c:pt idx="270">
                  <c:v>728444660</c:v>
                </c:pt>
                <c:pt idx="271">
                  <c:v>728389070</c:v>
                </c:pt>
                <c:pt idx="272">
                  <c:v>728042840</c:v>
                </c:pt>
                <c:pt idx="273">
                  <c:v>728295910</c:v>
                </c:pt>
                <c:pt idx="274">
                  <c:v>728294530</c:v>
                </c:pt>
                <c:pt idx="275">
                  <c:v>728493930</c:v>
                </c:pt>
                <c:pt idx="276">
                  <c:v>728241800</c:v>
                </c:pt>
                <c:pt idx="277">
                  <c:v>728504750</c:v>
                </c:pt>
                <c:pt idx="278">
                  <c:v>728594790</c:v>
                </c:pt>
                <c:pt idx="279">
                  <c:v>728313570</c:v>
                </c:pt>
                <c:pt idx="280">
                  <c:v>728563450</c:v>
                </c:pt>
                <c:pt idx="281">
                  <c:v>728203870</c:v>
                </c:pt>
                <c:pt idx="282">
                  <c:v>728510700</c:v>
                </c:pt>
                <c:pt idx="283">
                  <c:v>728673740</c:v>
                </c:pt>
                <c:pt idx="284">
                  <c:v>728859690</c:v>
                </c:pt>
                <c:pt idx="285">
                  <c:v>728515300</c:v>
                </c:pt>
                <c:pt idx="286">
                  <c:v>728779330</c:v>
                </c:pt>
                <c:pt idx="287">
                  <c:v>728833810</c:v>
                </c:pt>
                <c:pt idx="288">
                  <c:v>728903490</c:v>
                </c:pt>
                <c:pt idx="289">
                  <c:v>728567890</c:v>
                </c:pt>
                <c:pt idx="290">
                  <c:v>728836250</c:v>
                </c:pt>
                <c:pt idx="291">
                  <c:v>728751600</c:v>
                </c:pt>
                <c:pt idx="292">
                  <c:v>728767440</c:v>
                </c:pt>
                <c:pt idx="293">
                  <c:v>728156030</c:v>
                </c:pt>
                <c:pt idx="294">
                  <c:v>729039070</c:v>
                </c:pt>
                <c:pt idx="295">
                  <c:v>728837540</c:v>
                </c:pt>
                <c:pt idx="296">
                  <c:v>728815750</c:v>
                </c:pt>
                <c:pt idx="297">
                  <c:v>728664270</c:v>
                </c:pt>
                <c:pt idx="298">
                  <c:v>728736380</c:v>
                </c:pt>
                <c:pt idx="299">
                  <c:v>728858170</c:v>
                </c:pt>
                <c:pt idx="300">
                  <c:v>728730690</c:v>
                </c:pt>
                <c:pt idx="301">
                  <c:v>728957780</c:v>
                </c:pt>
                <c:pt idx="302">
                  <c:v>729006620</c:v>
                </c:pt>
                <c:pt idx="303">
                  <c:v>728921380</c:v>
                </c:pt>
                <c:pt idx="304">
                  <c:v>728894380</c:v>
                </c:pt>
                <c:pt idx="305">
                  <c:v>729102830</c:v>
                </c:pt>
                <c:pt idx="306">
                  <c:v>728691520</c:v>
                </c:pt>
                <c:pt idx="307">
                  <c:v>729040910</c:v>
                </c:pt>
                <c:pt idx="308">
                  <c:v>728870450</c:v>
                </c:pt>
                <c:pt idx="309">
                  <c:v>728964440</c:v>
                </c:pt>
                <c:pt idx="310">
                  <c:v>729171610</c:v>
                </c:pt>
                <c:pt idx="311">
                  <c:v>729107990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8-F348-9EDF-9560A49B4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159135"/>
        <c:axId val="1775160847"/>
      </c:scatterChart>
      <c:valAx>
        <c:axId val="1775159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dpa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160847"/>
        <c:crosses val="autoZero"/>
        <c:crossBetween val="midCat"/>
      </c:valAx>
      <c:valAx>
        <c:axId val="177516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SAW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1591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155936</xdr:colOff>
      <xdr:row>15</xdr:row>
      <xdr:rowOff>142606</xdr:rowOff>
    </xdr:from>
    <xdr:to>
      <xdr:col>35</xdr:col>
      <xdr:colOff>178797</xdr:colOff>
      <xdr:row>46</xdr:row>
      <xdr:rowOff>159478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75B0E7-1BFF-5F4B-92B6-056A3DE09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1048682</xdr:colOff>
      <xdr:row>16</xdr:row>
      <xdr:rowOff>3106</xdr:rowOff>
    </xdr:from>
    <xdr:to>
      <xdr:col>3</xdr:col>
      <xdr:colOff>1617459</xdr:colOff>
      <xdr:row>17</xdr:row>
      <xdr:rowOff>3249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E0CFB6D-9399-724C-B477-03E1BC14CD97}"/>
            </a:ext>
          </a:extLst>
        </xdr:cNvPr>
        <xdr:cNvSpPr txBox="1"/>
      </xdr:nvSpPr>
      <xdr:spPr>
        <a:xfrm>
          <a:off x="4795182" y="206306"/>
          <a:ext cx="568777" cy="190643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GB" sz="1100" b="1"/>
            <a:t>green</a:t>
          </a:r>
        </a:p>
      </xdr:txBody>
    </xdr:sp>
    <xdr:clientData/>
  </xdr:twoCellAnchor>
  <xdr:twoCellAnchor>
    <xdr:from>
      <xdr:col>16</xdr:col>
      <xdr:colOff>222100</xdr:colOff>
      <xdr:row>56</xdr:row>
      <xdr:rowOff>169321</xdr:rowOff>
    </xdr:from>
    <xdr:to>
      <xdr:col>30</xdr:col>
      <xdr:colOff>392206</xdr:colOff>
      <xdr:row>77</xdr:row>
      <xdr:rowOff>163605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B9A387-0E12-3142-BBFB-688855EDD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273050</xdr:colOff>
      <xdr:row>6</xdr:row>
      <xdr:rowOff>146050</xdr:rowOff>
    </xdr:from>
    <xdr:to>
      <xdr:col>18</xdr:col>
      <xdr:colOff>152400</xdr:colOff>
      <xdr:row>28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3E399A-4114-BAE1-30D5-41623D0D8C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liciae/MIT%20Dropbox/Alicia%20Elliott/Irradiations/2025/09/05-Sept-2025/7_5_MeV_Fe/convert_vacancy.txt_to_dpa_example.xlsx" TargetMode="External"/><Relationship Id="rId1" Type="http://schemas.openxmlformats.org/officeDocument/2006/relationships/externalLinkPath" Target="/Users/aliciae/MIT%20Dropbox/Alicia%20Elliott/Irradiations/2025/09/05-Sept-2025/7_5_MeV_Fe/convert_vacancy.txt_to_dpa_ex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a_conversion"/>
      <sheetName val="dpa_conversion (2) 7.5MeV Fe4+"/>
      <sheetName val="Sheet2"/>
    </sheetNames>
    <sheetDataSet>
      <sheetData sheetId="0">
        <row r="1">
          <cell r="O1" t="str">
            <v>Probe-weighted</v>
          </cell>
        </row>
        <row r="2">
          <cell r="O2" t="str">
            <v>average dpa thermal</v>
          </cell>
        </row>
        <row r="3">
          <cell r="G3">
            <v>2.0000999999999998E-2</v>
          </cell>
          <cell r="I3">
            <v>0.44103127604044823</v>
          </cell>
          <cell r="M3">
            <v>1.6704864203087464</v>
          </cell>
          <cell r="N3">
            <v>1.6916647231609203</v>
          </cell>
          <cell r="O3">
            <v>1.369919472054244E-2</v>
          </cell>
        </row>
        <row r="4">
          <cell r="G4">
            <v>4.0001000000000002E-2</v>
          </cell>
          <cell r="I4">
            <v>0.48018650771309446</v>
          </cell>
          <cell r="M4">
            <v>1.6398993973545164</v>
          </cell>
          <cell r="N4">
            <v>1.681742964453844</v>
          </cell>
          <cell r="O4">
            <v>1.4641586769548997E-2</v>
          </cell>
        </row>
        <row r="5">
          <cell r="G5">
            <v>6.0000999999999999E-2</v>
          </cell>
          <cell r="I5">
            <v>0.48203803581851551</v>
          </cell>
          <cell r="M5">
            <v>1.6098724304185985</v>
          </cell>
          <cell r="N5">
            <v>1.6718793977126425</v>
          </cell>
          <cell r="O5">
            <v>1.442891773635329E-2</v>
          </cell>
        </row>
        <row r="6">
          <cell r="G6">
            <v>8.0001000000000003E-2</v>
          </cell>
          <cell r="I6">
            <v>0.50376205642587135</v>
          </cell>
          <cell r="M6">
            <v>1.5803952647356263</v>
          </cell>
          <cell r="N6">
            <v>1.6620736816364439</v>
          </cell>
          <cell r="O6">
            <v>1.4803082485692233E-2</v>
          </cell>
        </row>
        <row r="7">
          <cell r="G7">
            <v>0.10000099999999999</v>
          </cell>
          <cell r="I7">
            <v>0.50728995660532705</v>
          </cell>
          <cell r="M7">
            <v>1.5514578333075451</v>
          </cell>
          <cell r="N7">
            <v>1.6523254769261362</v>
          </cell>
          <cell r="O7">
            <v>1.4633803762368473E-2</v>
          </cell>
        </row>
        <row r="8">
          <cell r="G8">
            <v>0.120001</v>
          </cell>
          <cell r="I8">
            <v>0.52429326021156408</v>
          </cell>
          <cell r="M8">
            <v>1.5230502534655448</v>
          </cell>
          <cell r="N8">
            <v>1.642634446272625</v>
          </cell>
          <cell r="O8">
            <v>1.4847368733864131E-2</v>
          </cell>
        </row>
        <row r="9">
          <cell r="G9">
            <v>0.14000099999999999</v>
          </cell>
          <cell r="I9">
            <v>0.55801015906493079</v>
          </cell>
          <cell r="M9">
            <v>1.4951628234949459</v>
          </cell>
          <cell r="N9">
            <v>1.6330002543451629</v>
          </cell>
          <cell r="O9">
            <v>1.5512849599142351E-2</v>
          </cell>
        </row>
        <row r="10">
          <cell r="G10">
            <v>0.160001</v>
          </cell>
          <cell r="I10">
            <v>0.57493402650818681</v>
          </cell>
          <cell r="M10">
            <v>1.4677860193218843</v>
          </cell>
          <cell r="N10">
            <v>1.6234225677797467</v>
          </cell>
          <cell r="O10">
            <v>1.5690679276173396E-2</v>
          </cell>
        </row>
        <row r="11">
          <cell r="G11">
            <v>0.18000099999999999</v>
          </cell>
          <cell r="I11">
            <v>0.57375933415864777</v>
          </cell>
          <cell r="M11">
            <v>1.4409104912606632</v>
          </cell>
          <cell r="N11">
            <v>1.6139010551675808</v>
          </cell>
          <cell r="O11">
            <v>1.5371907185906065E-2</v>
          </cell>
        </row>
        <row r="12">
          <cell r="G12">
            <v>0.20000100000000001</v>
          </cell>
          <cell r="I12">
            <v>0.59850646007731723</v>
          </cell>
          <cell r="M12">
            <v>1.4145270608206628</v>
          </cell>
          <cell r="N12">
            <v>1.604435387043611</v>
          </cell>
          <cell r="O12">
            <v>1.5741317868304988E-2</v>
          </cell>
        </row>
        <row r="13">
          <cell r="G13">
            <v>0.22000100000000003</v>
          </cell>
          <cell r="I13">
            <v>0.61657726677217228</v>
          </cell>
          <cell r="M13">
            <v>1.3886267175717157</v>
          </cell>
          <cell r="N13">
            <v>1.5950252358751238</v>
          </cell>
          <cell r="O13">
            <v>1.5919668182796484E-2</v>
          </cell>
        </row>
        <row r="14">
          <cell r="G14">
            <v>0.24000100000000002</v>
          </cell>
          <cell r="I14">
            <v>0.63378291311798174</v>
          </cell>
          <cell r="M14">
            <v>1.3632006160668779</v>
          </cell>
          <cell r="N14">
            <v>1.5856702760504131</v>
          </cell>
          <cell r="O14">
            <v>1.6064280776961447E-2</v>
          </cell>
        </row>
        <row r="15">
          <cell r="G15">
            <v>0.26000100000000004</v>
          </cell>
          <cell r="I15">
            <v>0.64253264363329787</v>
          </cell>
          <cell r="M15">
            <v>1.3382400728215449</v>
          </cell>
          <cell r="N15">
            <v>1.5763701838675139</v>
          </cell>
          <cell r="O15">
            <v>1.5987855462521041E-2</v>
          </cell>
        </row>
        <row r="16">
          <cell r="G16">
            <v>0.280001</v>
          </cell>
          <cell r="I16">
            <v>0.65467264161787808</v>
          </cell>
          <cell r="M16">
            <v>1.3137365633478806</v>
          </cell>
          <cell r="N16">
            <v>1.5671246375230004</v>
          </cell>
          <cell r="O16">
            <v>1.5991656986052372E-2</v>
          </cell>
        </row>
        <row r="17">
          <cell r="G17">
            <v>0.30000100000000002</v>
          </cell>
          <cell r="I17">
            <v>0.67961347283237317</v>
          </cell>
          <cell r="M17">
            <v>1.289681719243547</v>
          </cell>
          <cell r="N17">
            <v>1.5579333171008516</v>
          </cell>
          <cell r="O17">
            <v>1.6296919112184706E-2</v>
          </cell>
        </row>
        <row r="18">
          <cell r="G18">
            <v>0.32000100000000004</v>
          </cell>
          <cell r="I18">
            <v>0.69918931870071555</v>
          </cell>
          <cell r="M18">
            <v>1.2660673253337404</v>
          </cell>
          <cell r="N18">
            <v>1.5487959045613815</v>
          </cell>
          <cell r="O18">
            <v>1.6459345891047871E-2</v>
          </cell>
        </row>
        <row r="19">
          <cell r="G19">
            <v>0.340001</v>
          </cell>
          <cell r="I19">
            <v>0.73457834170496294</v>
          </cell>
          <cell r="M19">
            <v>1.2428853168655565</v>
          </cell>
          <cell r="N19">
            <v>1.5397120837302343</v>
          </cell>
          <cell r="O19">
            <v>1.6975796604430722E-2</v>
          </cell>
        </row>
        <row r="20">
          <cell r="G20">
            <v>0.36000100000000002</v>
          </cell>
          <cell r="I20">
            <v>0.75420459626140013</v>
          </cell>
          <cell r="M20">
            <v>1.2201277767537273</v>
          </cell>
          <cell r="N20">
            <v>1.5306815402874436</v>
          </cell>
          <cell r="O20">
            <v>1.7110215329657431E-2</v>
          </cell>
        </row>
        <row r="21">
          <cell r="G21">
            <v>0.38000100000000003</v>
          </cell>
          <cell r="I21">
            <v>0.76429610410364879</v>
          </cell>
          <cell r="M21">
            <v>1.1977869328767909</v>
          </cell>
          <cell r="N21">
            <v>1.5217039617565569</v>
          </cell>
          <cell r="O21">
            <v>1.7021671425332417E-2</v>
          </cell>
        </row>
        <row r="22">
          <cell r="G22">
            <v>0.400001</v>
          </cell>
          <cell r="I22">
            <v>0.81538106156474888</v>
          </cell>
          <cell r="M22">
            <v>1.1758551554227679</v>
          </cell>
          <cell r="N22">
            <v>1.5127790374938226</v>
          </cell>
          <cell r="O22">
            <v>1.7826883811938494E-2</v>
          </cell>
        </row>
        <row r="23">
          <cell r="G23">
            <v>0.42000100000000001</v>
          </cell>
          <cell r="I23">
            <v>0.81490232062528523</v>
          </cell>
          <cell r="M23">
            <v>1.1543249542834382</v>
          </cell>
          <cell r="N23">
            <v>1.5039064586774413</v>
          </cell>
          <cell r="O23">
            <v>1.7490193938815048E-2</v>
          </cell>
        </row>
        <row r="24">
          <cell r="G24">
            <v>0.44000100000000003</v>
          </cell>
          <cell r="I24">
            <v>0.85334149405159365</v>
          </cell>
          <cell r="M24">
            <v>1.1331889764963321</v>
          </cell>
          <cell r="N24">
            <v>1.4950859182968805</v>
          </cell>
          <cell r="O24">
            <v>1.7979855256746238E-2</v>
          </cell>
        </row>
        <row r="25">
          <cell r="G25">
            <v>0.46000100000000005</v>
          </cell>
          <cell r="I25">
            <v>0.88656761618322688</v>
          </cell>
          <cell r="M25">
            <v>1.1124400037335558</v>
          </cell>
          <cell r="N25">
            <v>1.4863171111422502</v>
          </cell>
          <cell r="O25">
            <v>1.8337893567573066E-2</v>
          </cell>
        </row>
        <row r="26">
          <cell r="G26">
            <v>0.48000100000000001</v>
          </cell>
          <cell r="I26">
            <v>0.9240832911158402</v>
          </cell>
          <cell r="M26">
            <v>1.0920709498365997</v>
          </cell>
          <cell r="N26">
            <v>1.4775997337937425</v>
          </cell>
          <cell r="O26">
            <v>1.8763893460459966E-2</v>
          </cell>
        </row>
        <row r="27">
          <cell r="G27">
            <v>0.50000100000000003</v>
          </cell>
          <cell r="I27">
            <v>0.95980110337221269</v>
          </cell>
          <cell r="M27">
            <v>1.0720748583962836</v>
          </cell>
          <cell r="N27">
            <v>1.4689334846111337</v>
          </cell>
          <cell r="O27">
            <v>1.913230706162293E-2</v>
          </cell>
        </row>
        <row r="28">
          <cell r="G28">
            <v>0.52000100000000005</v>
          </cell>
          <cell r="I28">
            <v>0.97889891628828352</v>
          </cell>
          <cell r="M28">
            <v>1.0524449003770142</v>
          </cell>
          <cell r="N28">
            <v>1.4603180637233446</v>
          </cell>
          <cell r="O28">
            <v>1.9155707724679047E-2</v>
          </cell>
        </row>
        <row r="29">
          <cell r="G29">
            <v>0.54000100000000006</v>
          </cell>
          <cell r="I29">
            <v>1.0170854798843634</v>
          </cell>
          <cell r="M29">
            <v>1.0331743717845432</v>
          </cell>
          <cell r="N29">
            <v>1.4517531730180664</v>
          </cell>
          <cell r="O29">
            <v>1.9538538065303066E-2</v>
          </cell>
        </row>
        <row r="30">
          <cell r="G30">
            <v>0.56000099999999997</v>
          </cell>
          <cell r="I30">
            <v>1.0671008102952684</v>
          </cell>
          <cell r="M30">
            <v>1.0142566913764288</v>
          </cell>
          <cell r="N30">
            <v>1.4432385161314443</v>
          </cell>
          <cell r="O30">
            <v>2.0124000408407665E-2</v>
          </cell>
        </row>
        <row r="31">
          <cell r="G31">
            <v>0.58000099999999999</v>
          </cell>
          <cell r="I31">
            <v>1.0962980605101422</v>
          </cell>
          <cell r="M31">
            <v>0.99568539841441928</v>
          </cell>
          <cell r="N31">
            <v>1.4347737984378233</v>
          </cell>
          <cell r="O31">
            <v>2.0296061505719016E-2</v>
          </cell>
        </row>
        <row r="32">
          <cell r="G32">
            <v>0.60000100000000001</v>
          </cell>
          <cell r="I32">
            <v>1.1409982478732357</v>
          </cell>
          <cell r="M32">
            <v>0.97745415045799189</v>
          </cell>
          <cell r="N32">
            <v>1.4263587270395521</v>
          </cell>
          <cell r="O32">
            <v>2.0736829590780808E-2</v>
          </cell>
        </row>
        <row r="33">
          <cell r="G33">
            <v>0.62000100000000002</v>
          </cell>
          <cell r="I33">
            <v>1.1705923957081381</v>
          </cell>
          <cell r="M33">
            <v>0.9595567211982915</v>
          </cell>
          <cell r="N33">
            <v>1.4179930107568506</v>
          </cell>
          <cell r="O33">
            <v>2.0885137390838172E-2</v>
          </cell>
        </row>
        <row r="34">
          <cell r="G34">
            <v>0.64000100000000004</v>
          </cell>
          <cell r="I34">
            <v>1.1953518406039547</v>
          </cell>
          <cell r="M34">
            <v>0.94198699833173061</v>
          </cell>
          <cell r="N34">
            <v>1.4096763601177322</v>
          </cell>
          <cell r="O34">
            <v>2.093638275337778E-2</v>
          </cell>
        </row>
        <row r="35">
          <cell r="G35">
            <v>0.66000100000000006</v>
          </cell>
          <cell r="I35">
            <v>1.2719203722612011</v>
          </cell>
          <cell r="M35">
            <v>0.9247389814725252</v>
          </cell>
          <cell r="N35">
            <v>1.4014084873479888</v>
          </cell>
          <cell r="O35">
            <v>2.1869561485905076E-2</v>
          </cell>
        </row>
        <row r="36">
          <cell r="G36">
            <v>0.68000099999999997</v>
          </cell>
          <cell r="I36">
            <v>1.2836412418279133</v>
          </cell>
          <cell r="M36">
            <v>0.90780678010345106</v>
          </cell>
          <cell r="N36">
            <v>1.3931891063612323</v>
          </cell>
          <cell r="O36">
            <v>2.1666964423921783E-2</v>
          </cell>
        </row>
        <row r="37">
          <cell r="G37">
            <v>0.70000099999999998</v>
          </cell>
          <cell r="I37">
            <v>1.3392339537426743</v>
          </cell>
          <cell r="M37">
            <v>0.89118461156412354</v>
          </cell>
          <cell r="N37">
            <v>1.385017932748996</v>
          </cell>
          <cell r="O37">
            <v>2.2191421196895024E-2</v>
          </cell>
          <cell r="Q37">
            <v>1.0822536130248883</v>
          </cell>
          <cell r="R37">
            <v>5.002174477486762E-5</v>
          </cell>
        </row>
        <row r="38">
          <cell r="G38">
            <v>0.720001</v>
          </cell>
          <cell r="I38">
            <v>1.3784803741656948</v>
          </cell>
          <cell r="M38">
            <v>0.87486679907611165</v>
          </cell>
          <cell r="N38">
            <v>1.3768946837708935</v>
          </cell>
          <cell r="O38">
            <v>2.2423505580409137E-2</v>
          </cell>
          <cell r="Q38">
            <v>1.0822536130248883</v>
          </cell>
          <cell r="R38">
            <v>1.7016455176322136</v>
          </cell>
        </row>
        <row r="39">
          <cell r="G39">
            <v>0.74000100000000002</v>
          </cell>
          <cell r="I39">
            <v>1.4256454897376565</v>
          </cell>
          <cell r="M39">
            <v>0.85884776980421296</v>
          </cell>
          <cell r="N39">
            <v>1.3688190783448344</v>
          </cell>
          <cell r="O39">
            <v>2.2766104390945185E-2</v>
          </cell>
        </row>
        <row r="40">
          <cell r="G40">
            <v>0.76000100000000004</v>
          </cell>
          <cell r="I40">
            <v>1.4682667435091481</v>
          </cell>
          <cell r="M40">
            <v>0.84312205295322795</v>
          </cell>
          <cell r="N40">
            <v>1.3607908370372994</v>
          </cell>
          <cell r="O40">
            <v>2.3017407008929097E-2</v>
          </cell>
          <cell r="Q40">
            <v>3.4</v>
          </cell>
          <cell r="R40">
            <v>5.002174477486762E-5</v>
          </cell>
        </row>
        <row r="41">
          <cell r="G41">
            <v>0.78000100000000006</v>
          </cell>
          <cell r="I41">
            <v>1.4751463966546039</v>
          </cell>
          <cell r="M41">
            <v>0.82768427789958132</v>
          </cell>
          <cell r="N41">
            <v>1.352809682053671</v>
          </cell>
          <cell r="O41">
            <v>2.2701827256573211E-2</v>
          </cell>
          <cell r="Q41">
            <v>3.4</v>
          </cell>
          <cell r="R41">
            <v>1.7016455176322136</v>
          </cell>
        </row>
        <row r="42">
          <cell r="G42">
            <v>0.80000100000000007</v>
          </cell>
          <cell r="I42">
            <v>1.5312620279096314</v>
          </cell>
          <cell r="M42">
            <v>0.81252917235715438</v>
          </cell>
          <cell r="N42">
            <v>1.3448753372286197</v>
          </cell>
          <cell r="O42">
            <v>2.3133932376607769E-2</v>
          </cell>
        </row>
        <row r="43">
          <cell r="G43">
            <v>0.82000099999999998</v>
          </cell>
          <cell r="I43">
            <v>1.5649988920018219</v>
          </cell>
          <cell r="M43">
            <v>0.79765156057670283</v>
          </cell>
          <cell r="N43">
            <v>1.3369875280165513</v>
          </cell>
          <cell r="O43">
            <v>2.3210700080882753E-2</v>
          </cell>
        </row>
        <row r="44">
          <cell r="G44">
            <v>0.840001</v>
          </cell>
          <cell r="I44">
            <v>1.5951973777041104</v>
          </cell>
          <cell r="M44">
            <v>0.78304636157824126</v>
          </cell>
          <cell r="N44">
            <v>1.3291459814821032</v>
          </cell>
          <cell r="O44">
            <v>2.3225383252737365E-2</v>
          </cell>
        </row>
        <row r="45">
          <cell r="G45">
            <v>0.86000100000000002</v>
          </cell>
          <cell r="I45">
            <v>1.6315942912753802</v>
          </cell>
          <cell r="M45">
            <v>0.76870858741579495</v>
          </cell>
          <cell r="N45">
            <v>1.321350426290703</v>
          </cell>
          <cell r="O45">
            <v>2.3320340970628982E-2</v>
          </cell>
        </row>
        <row r="46">
          <cell r="G46">
            <v>0.88000100000000003</v>
          </cell>
          <cell r="I46">
            <v>1.6540925666762849</v>
          </cell>
          <cell r="M46">
            <v>0.75463334147392436</v>
          </cell>
          <cell r="N46">
            <v>1.3136005926991787</v>
          </cell>
          <cell r="O46">
            <v>2.3209019083932244E-2</v>
          </cell>
        </row>
        <row r="47">
          <cell r="G47">
            <v>0.90000100000000005</v>
          </cell>
          <cell r="I47">
            <v>1.652585261943782</v>
          </cell>
          <cell r="M47">
            <v>0.74081581679543929</v>
          </cell>
          <cell r="N47">
            <v>1.3058962125464257</v>
          </cell>
          <cell r="O47">
            <v>2.2763294007865288E-2</v>
          </cell>
        </row>
        <row r="48">
          <cell r="G48">
            <v>0.92000100000000007</v>
          </cell>
          <cell r="I48">
            <v>1.683307374973529</v>
          </cell>
          <cell r="M48">
            <v>0.72725129443973469</v>
          </cell>
          <cell r="N48">
            <v>1.2982370192441262</v>
          </cell>
          <cell r="O48">
            <v>2.2761921189628664E-2</v>
          </cell>
        </row>
        <row r="49">
          <cell r="G49">
            <v>0.94000099999999998</v>
          </cell>
          <cell r="I49">
            <v>1.6748374409966271</v>
          </cell>
          <cell r="M49">
            <v>0.71393514187118512</v>
          </cell>
          <cell r="N49">
            <v>1.2906227477675265</v>
          </cell>
          <cell r="O49">
            <v>2.2232710190028045E-2</v>
          </cell>
        </row>
        <row r="50">
          <cell r="G50">
            <v>0.96000099999999999</v>
          </cell>
          <cell r="I50">
            <v>1.7016455176322136</v>
          </cell>
          <cell r="M50">
            <v>0.70086281137704709</v>
          </cell>
          <cell r="N50">
            <v>1.2830531346462652</v>
          </cell>
          <cell r="O50">
            <v>2.2174972846188797E-2</v>
          </cell>
        </row>
        <row r="51">
          <cell r="G51">
            <v>0.98000100000000001</v>
          </cell>
          <cell r="I51">
            <v>1.6842422012623013</v>
          </cell>
          <cell r="M51">
            <v>0.68802983851433208</v>
          </cell>
          <cell r="N51">
            <v>1.2755279179552583</v>
          </cell>
          <cell r="O51">
            <v>2.154630505951715E-2</v>
          </cell>
        </row>
        <row r="52">
          <cell r="G52">
            <v>1</v>
          </cell>
          <cell r="I52">
            <v>1.6840905504057009</v>
          </cell>
          <cell r="M52">
            <v>0.67543246468296569</v>
          </cell>
          <cell r="N52">
            <v>1.2680472102606408</v>
          </cell>
          <cell r="O52">
            <v>2.1148844359764635E-2</v>
          </cell>
        </row>
        <row r="53">
          <cell r="G53">
            <v>1.02</v>
          </cell>
          <cell r="I53">
            <v>1.6512471661502497</v>
          </cell>
          <cell r="M53">
            <v>0.66306512781022908</v>
          </cell>
          <cell r="N53">
            <v>1.2606100046033173</v>
          </cell>
          <cell r="O53">
            <v>2.0357725749098252E-2</v>
          </cell>
        </row>
        <row r="54">
          <cell r="G54">
            <v>1.04</v>
          </cell>
          <cell r="I54">
            <v>1.6563596832636123</v>
          </cell>
          <cell r="M54">
            <v>0.65092423995989113</v>
          </cell>
          <cell r="N54">
            <v>1.253216418795114</v>
          </cell>
          <cell r="O54">
            <v>2.0046847279988591E-2</v>
          </cell>
        </row>
        <row r="55">
          <cell r="G55">
            <v>1.06</v>
          </cell>
          <cell r="I55">
            <v>1.6087711913506277</v>
          </cell>
          <cell r="M55">
            <v>0.63900565479387816</v>
          </cell>
          <cell r="N55">
            <v>1.2458661970018747</v>
          </cell>
          <cell r="O55">
            <v>1.9114369111087125E-2</v>
          </cell>
        </row>
        <row r="56">
          <cell r="G56">
            <v>1.08</v>
          </cell>
          <cell r="I56">
            <v>1.5933479735602665</v>
          </cell>
          <cell r="M56">
            <v>0.62730530189460065</v>
          </cell>
          <cell r="N56">
            <v>1.2385590848899322</v>
          </cell>
          <cell r="O56">
            <v>1.8584486967736902E-2</v>
          </cell>
        </row>
        <row r="57">
          <cell r="G57">
            <v>1.1000000000000001</v>
          </cell>
          <cell r="I57">
            <v>1.550288192521837</v>
          </cell>
          <cell r="M57">
            <v>0.61581918537483027</v>
          </cell>
          <cell r="N57">
            <v>1.2312948296173072</v>
          </cell>
          <cell r="O57">
            <v>1.7751155990537854E-2</v>
          </cell>
        </row>
        <row r="58">
          <cell r="G58">
            <v>1.1200000000000001</v>
          </cell>
          <cell r="I58">
            <v>1.5106957079591981</v>
          </cell>
          <cell r="M58">
            <v>0.6045433825130303</v>
          </cell>
          <cell r="N58">
            <v>1.2240731798249616</v>
          </cell>
          <cell r="O58">
            <v>1.6981085676837916E-2</v>
          </cell>
        </row>
        <row r="59">
          <cell r="G59">
            <v>1.1399999999999999</v>
          </cell>
          <cell r="I59">
            <v>1.4672700391397642</v>
          </cell>
          <cell r="M59">
            <v>0.59347404241367407</v>
          </cell>
          <cell r="N59">
            <v>1.2168938856280986</v>
          </cell>
          <cell r="O59">
            <v>1.6190966125637297E-2</v>
          </cell>
        </row>
        <row r="60">
          <cell r="G60">
            <v>1.1599999999999999</v>
          </cell>
          <cell r="I60">
            <v>1.4216021748821741</v>
          </cell>
          <cell r="M60">
            <v>0.5826073846920915</v>
          </cell>
          <cell r="N60">
            <v>1.2097566986075177</v>
          </cell>
          <cell r="O60">
            <v>1.5399798934050555E-2</v>
          </cell>
        </row>
        <row r="61">
          <cell r="G61">
            <v>1.18</v>
          </cell>
          <cell r="I61">
            <v>1.3537186637108629</v>
          </cell>
          <cell r="M61">
            <v>0.57193969818339929</v>
          </cell>
          <cell r="N61">
            <v>1.2026613718010184</v>
          </cell>
          <cell r="O61">
            <v>1.4395927295478114E-2</v>
          </cell>
        </row>
        <row r="62">
          <cell r="G62">
            <v>1.2</v>
          </cell>
          <cell r="I62">
            <v>1.2980785166542146</v>
          </cell>
          <cell r="M62">
            <v>0.56146733967506879</v>
          </cell>
          <cell r="N62">
            <v>1.1956076596948542</v>
          </cell>
          <cell r="O62">
            <v>1.3551471222430517E-2</v>
          </cell>
        </row>
        <row r="63">
          <cell r="G63">
            <v>1.22</v>
          </cell>
          <cell r="I63">
            <v>1.2314907636423338</v>
          </cell>
          <cell r="M63">
            <v>0.55118673266270057</v>
          </cell>
          <cell r="N63">
            <v>1.188595318215238</v>
          </cell>
          <cell r="O63">
            <v>1.2620916704102165E-2</v>
          </cell>
        </row>
        <row r="64">
          <cell r="G64">
            <v>1.24</v>
          </cell>
          <cell r="I64">
            <v>1.167072708180114</v>
          </cell>
          <cell r="M64">
            <v>0.54109436612858341</v>
          </cell>
          <cell r="N64">
            <v>1.1816241047198968</v>
          </cell>
          <cell r="O64">
            <v>1.1741725186848647E-2</v>
          </cell>
        </row>
        <row r="65">
          <cell r="G65">
            <v>1.26</v>
          </cell>
          <cell r="I65">
            <v>1.0939897390682203</v>
          </cell>
          <cell r="M65">
            <v>0.53118679334261576</v>
          </cell>
          <cell r="N65">
            <v>1.1746937779896747</v>
          </cell>
          <cell r="O65">
            <v>1.0804918705125122E-2</v>
          </cell>
        </row>
        <row r="66">
          <cell r="G66">
            <v>1.28</v>
          </cell>
          <cell r="I66">
            <v>1.0299210044867033</v>
          </cell>
          <cell r="M66">
            <v>0.52146063068518356</v>
          </cell>
          <cell r="N66">
            <v>1.1678040982201872</v>
          </cell>
          <cell r="O66">
            <v>9.9858819381899722E-3</v>
          </cell>
        </row>
        <row r="67">
          <cell r="G67">
            <v>1.3</v>
          </cell>
          <cell r="I67">
            <v>0.95846357396843429</v>
          </cell>
          <cell r="M67">
            <v>0.51191255649159206</v>
          </cell>
          <cell r="N67">
            <v>1.160954827013523</v>
          </cell>
          <cell r="O67">
            <v>9.1228887923832866E-3</v>
          </cell>
        </row>
        <row r="68">
          <cell r="G68">
            <v>1.32</v>
          </cell>
          <cell r="I68">
            <v>0.90275036263353559</v>
          </cell>
          <cell r="M68">
            <v>0.50253930991765527</v>
          </cell>
          <cell r="N68">
            <v>1.1541457273699951</v>
          </cell>
          <cell r="O68">
            <v>8.4352643397751035E-3</v>
          </cell>
        </row>
        <row r="69">
          <cell r="G69">
            <v>1.34</v>
          </cell>
          <cell r="I69">
            <v>0.82385538506224287</v>
          </cell>
          <cell r="M69">
            <v>0.49333768982605747</v>
          </cell>
          <cell r="N69">
            <v>1.1473765636799398</v>
          </cell>
          <cell r="O69">
            <v>7.5571191008601442E-3</v>
          </cell>
        </row>
        <row r="70">
          <cell r="G70">
            <v>1.36</v>
          </cell>
          <cell r="I70">
            <v>0.76334782605822182</v>
          </cell>
          <cell r="M70">
            <v>0.48430455369310549</v>
          </cell>
          <cell r="N70">
            <v>1.1406471017155648</v>
          </cell>
          <cell r="O70">
            <v>6.8738810388828094E-3</v>
          </cell>
        </row>
        <row r="71">
          <cell r="G71">
            <v>1.38</v>
          </cell>
          <cell r="I71">
            <v>0.67774721859335152</v>
          </cell>
          <cell r="M71">
            <v>0.47543681653549891</v>
          </cell>
          <cell r="N71">
            <v>1.1339571086228428</v>
          </cell>
          <cell r="O71">
            <v>5.9913065261102431E-3</v>
          </cell>
        </row>
        <row r="72">
          <cell r="G72">
            <v>1.4</v>
          </cell>
          <cell r="I72">
            <v>0.62189906489959212</v>
          </cell>
          <cell r="M72">
            <v>0.46673144985675052</v>
          </cell>
          <cell r="N72">
            <v>1.1273063529134566</v>
          </cell>
          <cell r="O72">
            <v>5.3969445504543356E-3</v>
          </cell>
        </row>
        <row r="73">
          <cell r="G73">
            <v>1.42</v>
          </cell>
          <cell r="I73">
            <v>0.55069509379618253</v>
          </cell>
          <cell r="M73">
            <v>0.45818548061289943</v>
          </cell>
          <cell r="N73">
            <v>1.1206946044567869</v>
          </cell>
          <cell r="O73">
            <v>4.6915193975841504E-3</v>
          </cell>
        </row>
        <row r="74">
          <cell r="G74">
            <v>1.44</v>
          </cell>
          <cell r="I74">
            <v>0.49166142252918565</v>
          </cell>
          <cell r="M74">
            <v>0.44979599019716071</v>
          </cell>
          <cell r="N74">
            <v>1.1141216344719509</v>
          </cell>
          <cell r="O74">
            <v>4.1119014662845616E-3</v>
          </cell>
        </row>
        <row r="75">
          <cell r="G75">
            <v>1.46</v>
          </cell>
          <cell r="I75">
            <v>0.42842457289867419</v>
          </cell>
          <cell r="M75">
            <v>0.44156011344316809</v>
          </cell>
          <cell r="N75">
            <v>1.1075872155198851</v>
          </cell>
          <cell r="O75">
            <v>3.5174278259442861E-3</v>
          </cell>
        </row>
        <row r="76">
          <cell r="G76">
            <v>1.48</v>
          </cell>
          <cell r="I76">
            <v>0.36367008192265171</v>
          </cell>
          <cell r="M76">
            <v>0.43347503764646561</v>
          </cell>
          <cell r="N76">
            <v>1.1010911214954748</v>
          </cell>
          <cell r="O76">
            <v>2.9311136205752318E-3</v>
          </cell>
        </row>
        <row r="77">
          <cell r="G77">
            <v>1.5</v>
          </cell>
          <cell r="I77">
            <v>0.31205933069328468</v>
          </cell>
          <cell r="M77">
            <v>0.42553800160391708</v>
          </cell>
          <cell r="N77">
            <v>1.0946331276197327</v>
          </cell>
          <cell r="O77">
            <v>2.469087658138591E-3</v>
          </cell>
        </row>
        <row r="78">
          <cell r="G78">
            <v>1.52</v>
          </cell>
          <cell r="I78">
            <v>0.26208497858107266</v>
          </cell>
          <cell r="M78">
            <v>0.41774629467070507</v>
          </cell>
          <cell r="N78">
            <v>1.0882130104320187</v>
          </cell>
          <cell r="O78">
            <v>2.0357091220883335E-3</v>
          </cell>
        </row>
        <row r="79">
          <cell r="G79">
            <v>1.54</v>
          </cell>
          <cell r="I79">
            <v>0.22230363135500394</v>
          </cell>
          <cell r="M79">
            <v>0.41009725583459417</v>
          </cell>
          <cell r="N79">
            <v>1.081830547782308</v>
          </cell>
          <cell r="O79">
            <v>1.695096419147714E-3</v>
          </cell>
        </row>
        <row r="80">
          <cell r="G80">
            <v>1.56</v>
          </cell>
          <cell r="I80">
            <v>0.18957831104374823</v>
          </cell>
          <cell r="M80">
            <v>0.40258827280714687</v>
          </cell>
          <cell r="N80">
            <v>1.0754855188235057</v>
          </cell>
          <cell r="O80">
            <v>1.419092667323166E-3</v>
          </cell>
        </row>
        <row r="81">
          <cell r="G81">
            <v>1.58</v>
          </cell>
          <cell r="I81">
            <v>0.15465623391234012</v>
          </cell>
          <cell r="M81">
            <v>0.39521678113157843</v>
          </cell>
          <cell r="N81">
            <v>1.0691777040038037</v>
          </cell>
          <cell r="O81">
            <v>1.1364852229805483E-3</v>
          </cell>
        </row>
        <row r="82">
          <cell r="G82">
            <v>1.6</v>
          </cell>
          <cell r="I82">
            <v>0.12762967242919634</v>
          </cell>
          <cell r="M82">
            <v>0.38798026330694729</v>
          </cell>
          <cell r="N82">
            <v>1.0629068850590839</v>
          </cell>
          <cell r="O82">
            <v>9.2070875793055676E-4</v>
          </cell>
        </row>
        <row r="83">
          <cell r="G83">
            <v>1.62</v>
          </cell>
          <cell r="I83">
            <v>0.1014236114630051</v>
          </cell>
          <cell r="M83">
            <v>0.38087624792838198</v>
          </cell>
          <cell r="N83">
            <v>1.0566728450053664</v>
          </cell>
          <cell r="O83">
            <v>7.1826374754103766E-4</v>
          </cell>
        </row>
        <row r="84">
          <cell r="G84">
            <v>1.64</v>
          </cell>
          <cell r="I84">
            <v>7.9402576068716632E-2</v>
          </cell>
          <cell r="M84">
            <v>0.3739023088430507</v>
          </cell>
          <cell r="N84">
            <v>1.0504753681313002</v>
          </cell>
          <cell r="O84">
            <v>5.5201861824930693E-4</v>
          </cell>
        </row>
        <row r="85">
          <cell r="G85">
            <v>1.66</v>
          </cell>
          <cell r="I85">
            <v>6.2197835946513472E-2</v>
          </cell>
          <cell r="M85">
            <v>0.36705606432158477</v>
          </cell>
          <cell r="N85">
            <v>1.0443142399907011</v>
          </cell>
          <cell r="O85">
            <v>4.2449117356922121E-4</v>
          </cell>
        </row>
        <row r="86">
          <cell r="G86">
            <v>1.68</v>
          </cell>
          <cell r="I86">
            <v>4.7837137014936006E-2</v>
          </cell>
          <cell r="M86">
            <v>0.36033517624467437</v>
          </cell>
          <cell r="N86">
            <v>1.0381892473951286</v>
          </cell>
          <cell r="O86">
            <v>3.2050353687077573E-4</v>
          </cell>
        </row>
        <row r="87">
          <cell r="G87">
            <v>1.7</v>
          </cell>
          <cell r="I87">
            <v>3.667226395011669E-2</v>
          </cell>
          <cell r="M87">
            <v>0.35373734930455758</v>
          </cell>
          <cell r="N87">
            <v>1.032100178406512</v>
          </cell>
          <cell r="O87">
            <v>2.4120128944710343E-4</v>
          </cell>
        </row>
        <row r="88">
          <cell r="G88">
            <v>1.72</v>
          </cell>
          <cell r="I88">
            <v>2.6502856277094203E-2</v>
          </cell>
          <cell r="M88">
            <v>0.34726033022112962</v>
          </cell>
          <cell r="N88">
            <v>1.0260468223298154</v>
          </cell>
          <cell r="O88">
            <v>1.7112317974910766E-4</v>
          </cell>
        </row>
        <row r="89">
          <cell r="G89">
            <v>1.74</v>
          </cell>
          <cell r="I89">
            <v>1.9572633022463464E-2</v>
          </cell>
          <cell r="M89">
            <v>0.34090190697240663</v>
          </cell>
          <cell r="N89">
            <v>1.0200289697057463</v>
          </cell>
          <cell r="O89">
            <v>1.2406225483611795E-4</v>
          </cell>
        </row>
        <row r="90">
          <cell r="G90">
            <v>1.76</v>
          </cell>
          <cell r="I90">
            <v>1.3560456760146628E-2</v>
          </cell>
          <cell r="M90">
            <v>0.33465990803907875</v>
          </cell>
          <cell r="N90">
            <v>1.0140464123035102</v>
          </cell>
          <cell r="O90">
            <v>8.4379897175780716E-5</v>
          </cell>
        </row>
        <row r="91">
          <cell r="G91">
            <v>1.78</v>
          </cell>
          <cell r="I91">
            <v>7.9935322271212483E-3</v>
          </cell>
          <cell r="M91">
            <v>0.32853220166289643</v>
          </cell>
          <cell r="N91">
            <v>1.0080989431136034</v>
          </cell>
          <cell r="O91">
            <v>4.8828980929016773E-5</v>
          </cell>
        </row>
        <row r="92">
          <cell r="G92">
            <v>1.8</v>
          </cell>
          <cell r="I92">
            <v>5.8856518711728418E-3</v>
          </cell>
          <cell r="M92">
            <v>0.32251669511863529</v>
          </cell>
          <cell r="N92">
            <v>1.0021863563406506</v>
          </cell>
          <cell r="O92">
            <v>3.5294558822358299E-5</v>
          </cell>
        </row>
        <row r="93">
          <cell r="G93">
            <v>1.82</v>
          </cell>
          <cell r="I93">
            <v>3.7690321213221258E-3</v>
          </cell>
          <cell r="M93">
            <v>0.31661133399939134</v>
          </cell>
          <cell r="N93">
            <v>0.99630844739628466</v>
          </cell>
          <cell r="O93">
            <v>2.2187955313238698E-5</v>
          </cell>
        </row>
        <row r="94">
          <cell r="G94">
            <v>1.84</v>
          </cell>
          <cell r="I94">
            <v>2.5442270223345457E-3</v>
          </cell>
          <cell r="M94">
            <v>0.31081410151496386</v>
          </cell>
          <cell r="N94">
            <v>0.99046501289206623</v>
          </cell>
          <cell r="O94">
            <v>1.4703392867722581E-5</v>
          </cell>
        </row>
        <row r="95">
          <cell r="G95">
            <v>1.86</v>
          </cell>
          <cell r="I95">
            <v>1.7066480135358858E-3</v>
          </cell>
          <cell r="M95">
            <v>0.30512301780308343</v>
          </cell>
          <cell r="N95">
            <v>0.98465585063244654</v>
          </cell>
          <cell r="O95">
            <v>9.6823308114831769E-6</v>
          </cell>
        </row>
        <row r="96">
          <cell r="G96">
            <v>1.88</v>
          </cell>
          <cell r="I96">
            <v>1.0297867701150347E-3</v>
          </cell>
          <cell r="M96">
            <v>0.29953613925325251</v>
          </cell>
          <cell r="N96">
            <v>0.97888075960777132</v>
          </cell>
          <cell r="O96">
            <v>5.7353182554314784E-6</v>
          </cell>
        </row>
        <row r="97">
          <cell r="G97">
            <v>1.9</v>
          </cell>
          <cell r="I97">
            <v>6.0527566722076731E-4</v>
          </cell>
          <cell r="M97">
            <v>0.29405155784296644</v>
          </cell>
          <cell r="N97">
            <v>0.97313953998732539</v>
          </cell>
          <cell r="O97">
            <v>3.3093117850934444E-6</v>
          </cell>
        </row>
        <row r="98">
          <cell r="G98">
            <v>1.92</v>
          </cell>
          <cell r="I98">
            <v>4.2948088978965297E-4</v>
          </cell>
          <cell r="M98">
            <v>0.28866740048608858</v>
          </cell>
          <cell r="N98">
            <v>0.96743199311241723</v>
          </cell>
          <cell r="O98">
            <v>2.3051679447734641E-6</v>
          </cell>
        </row>
        <row r="99">
          <cell r="G99">
            <v>1.94</v>
          </cell>
          <cell r="I99">
            <v>2.5156355259614425E-4</v>
          </cell>
          <cell r="M99">
            <v>0.28338182839315645</v>
          </cell>
          <cell r="N99">
            <v>0.96175792148950612</v>
          </cell>
          <cell r="O99">
            <v>1.3255029649141616E-6</v>
          </cell>
        </row>
        <row r="100">
          <cell r="G100">
            <v>1.96</v>
          </cell>
          <cell r="I100">
            <v>1.0835906815896168E-4</v>
          </cell>
          <cell r="M100">
            <v>0.27819303644340138</v>
          </cell>
          <cell r="N100">
            <v>0.9561171287833673</v>
          </cell>
          <cell r="O100">
            <v>5.604959807279903E-7</v>
          </cell>
        </row>
        <row r="101">
          <cell r="G101">
            <v>1.98</v>
          </cell>
          <cell r="I101">
            <v>5.9891780063606977E-5</v>
          </cell>
          <cell r="M101">
            <v>0.27309925256826606</v>
          </cell>
          <cell r="N101">
            <v>0.9505094198102999</v>
          </cell>
          <cell r="O101">
            <v>3.0412261691417154E-7</v>
          </cell>
        </row>
        <row r="102">
          <cell r="G102">
            <v>2</v>
          </cell>
          <cell r="I102">
            <v>5.002174477486762E-5</v>
          </cell>
          <cell r="M102">
            <v>0.26809873714621019</v>
          </cell>
          <cell r="N102">
            <v>0.94493460053137113</v>
          </cell>
          <cell r="O102">
            <v>2.4935299589655108E-7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7031-7C4F-2742-80FD-117824BD36EE}">
  <dimension ref="A1:S337"/>
  <sheetViews>
    <sheetView tabSelected="1" workbookViewId="0">
      <selection activeCell="D1" sqref="D1"/>
    </sheetView>
  </sheetViews>
  <sheetFormatPr baseColWidth="10" defaultRowHeight="16" x14ac:dyDescent="0.2"/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>
        <v>3.5217000000000001</v>
      </c>
      <c r="C2" t="s">
        <v>20</v>
      </c>
      <c r="D2" s="1">
        <v>725629860</v>
      </c>
      <c r="E2">
        <v>5719.6423999999997</v>
      </c>
      <c r="F2">
        <v>0.19137878999999999</v>
      </c>
      <c r="G2">
        <v>2.0081744999999999E-3</v>
      </c>
      <c r="H2" s="1">
        <v>9.9452652000000003E-6</v>
      </c>
      <c r="I2" s="1">
        <v>3.4617138000000003E-8</v>
      </c>
      <c r="J2" s="1">
        <v>8.3649639000000003E-6</v>
      </c>
      <c r="K2" s="1">
        <v>4.3773564000000001E-7</v>
      </c>
      <c r="L2">
        <v>2.5765006E-2</v>
      </c>
      <c r="M2">
        <v>1.4366079999999999E-4</v>
      </c>
      <c r="N2">
        <v>-1.4995936000000001</v>
      </c>
      <c r="O2">
        <v>3.7431576000000002E-3</v>
      </c>
      <c r="P2" s="1">
        <v>2.0295438000000001E-8</v>
      </c>
      <c r="Q2" s="1">
        <v>1.4071049000000001E-10</v>
      </c>
      <c r="R2">
        <v>1.1940106999999999E-3</v>
      </c>
      <c r="S2" s="1">
        <v>2.0302856000000001E-5</v>
      </c>
    </row>
    <row r="3" spans="1:19" x14ac:dyDescent="0.2">
      <c r="A3" t="s">
        <v>21</v>
      </c>
      <c r="B3">
        <v>3.5217000000000001</v>
      </c>
      <c r="C3" t="s">
        <v>22</v>
      </c>
      <c r="D3" s="1">
        <v>725442260</v>
      </c>
      <c r="E3">
        <v>5399.4071999999996</v>
      </c>
      <c r="F3">
        <v>0.18675974000000001</v>
      </c>
      <c r="G3">
        <v>2.0088821000000001E-3</v>
      </c>
      <c r="H3" s="1">
        <v>9.8826060000000006E-6</v>
      </c>
      <c r="I3" s="1">
        <v>3.5244380000000003E-8</v>
      </c>
      <c r="J3" s="1">
        <v>7.8593767000000003E-6</v>
      </c>
      <c r="K3" s="1">
        <v>4.5504808000000001E-7</v>
      </c>
      <c r="L3">
        <v>2.5282788E-2</v>
      </c>
      <c r="M3">
        <v>1.4184449000000001E-4</v>
      </c>
      <c r="N3">
        <v>-1.4835324000000001</v>
      </c>
      <c r="O3">
        <v>3.7685662000000002E-3</v>
      </c>
      <c r="P3" s="1">
        <v>2.0858354000000001E-8</v>
      </c>
      <c r="Q3" s="1">
        <v>1.4608864999999999E-10</v>
      </c>
      <c r="R3">
        <v>1.1822625000000001E-3</v>
      </c>
      <c r="S3" s="1">
        <v>2.0580784000000001E-5</v>
      </c>
    </row>
    <row r="4" spans="1:19" x14ac:dyDescent="0.2">
      <c r="A4" t="s">
        <v>23</v>
      </c>
      <c r="B4">
        <v>3.5217000000000001</v>
      </c>
      <c r="C4" t="s">
        <v>24</v>
      </c>
      <c r="D4" s="1">
        <v>725398030</v>
      </c>
      <c r="E4">
        <v>5949.3966</v>
      </c>
      <c r="F4">
        <v>0.18838029000000001</v>
      </c>
      <c r="G4">
        <v>2.0817742999999999E-3</v>
      </c>
      <c r="H4" s="1">
        <v>9.9374833999999992E-6</v>
      </c>
      <c r="I4" s="1">
        <v>3.6348445999999999E-8</v>
      </c>
      <c r="J4" s="1">
        <v>8.1061314999999997E-6</v>
      </c>
      <c r="K4" s="1">
        <v>4.6395782000000001E-7</v>
      </c>
      <c r="L4">
        <v>2.5729200000000001E-2</v>
      </c>
      <c r="M4">
        <v>1.4883628999999999E-4</v>
      </c>
      <c r="N4">
        <v>-1.4883997</v>
      </c>
      <c r="O4">
        <v>3.8837002E-3</v>
      </c>
      <c r="P4" s="1">
        <v>2.0337637E-8</v>
      </c>
      <c r="Q4" s="1">
        <v>1.4633253999999999E-10</v>
      </c>
      <c r="R4">
        <v>1.0865342E-3</v>
      </c>
      <c r="S4" s="1">
        <v>2.1081386999999999E-5</v>
      </c>
    </row>
    <row r="5" spans="1:19" x14ac:dyDescent="0.2">
      <c r="A5" t="s">
        <v>25</v>
      </c>
      <c r="B5">
        <v>3.5217000000000001</v>
      </c>
      <c r="C5" t="s">
        <v>26</v>
      </c>
      <c r="D5" s="1">
        <v>725156080</v>
      </c>
      <c r="E5">
        <v>5747.8410999999996</v>
      </c>
      <c r="F5">
        <v>0.18924278</v>
      </c>
      <c r="G5">
        <v>2.0527941000000002E-3</v>
      </c>
      <c r="H5" s="1">
        <v>9.9855105999999999E-6</v>
      </c>
      <c r="I5" s="1">
        <v>3.5863129E-8</v>
      </c>
      <c r="J5" s="1">
        <v>8.4803535000000005E-6</v>
      </c>
      <c r="K5" s="1">
        <v>4.5066400999999997E-7</v>
      </c>
      <c r="L5">
        <v>2.6031707000000001E-2</v>
      </c>
      <c r="M5">
        <v>1.4510441E-4</v>
      </c>
      <c r="N5">
        <v>-1.4893467</v>
      </c>
      <c r="O5">
        <v>3.7420293000000001E-3</v>
      </c>
      <c r="P5" s="1">
        <v>2.0461988000000001E-8</v>
      </c>
      <c r="Q5" s="1">
        <v>1.4198311000000001E-10</v>
      </c>
      <c r="R5">
        <v>1.0897187E-3</v>
      </c>
      <c r="S5" s="1">
        <v>2.0580209000000001E-5</v>
      </c>
    </row>
    <row r="6" spans="1:19" x14ac:dyDescent="0.2">
      <c r="A6" t="s">
        <v>27</v>
      </c>
      <c r="B6">
        <v>3.5217000000000001</v>
      </c>
      <c r="C6" t="s">
        <v>28</v>
      </c>
      <c r="D6" s="1">
        <v>724736280</v>
      </c>
      <c r="E6">
        <v>5661.0545000000002</v>
      </c>
      <c r="F6">
        <v>0.19080874</v>
      </c>
      <c r="G6">
        <v>2.0660031999999999E-3</v>
      </c>
      <c r="H6" s="1">
        <v>1.0040953000000001E-5</v>
      </c>
      <c r="I6" s="1">
        <v>3.5812054999999998E-8</v>
      </c>
      <c r="J6" s="1">
        <v>8.4063961000000004E-6</v>
      </c>
      <c r="K6" s="1">
        <v>4.4981205999999998E-7</v>
      </c>
      <c r="L6">
        <v>2.6225662E-2</v>
      </c>
      <c r="M6">
        <v>1.4634700000000001E-4</v>
      </c>
      <c r="N6">
        <v>-1.4610721</v>
      </c>
      <c r="O6">
        <v>3.7461888E-3</v>
      </c>
      <c r="P6" s="1">
        <v>2.0208681E-8</v>
      </c>
      <c r="Q6" s="1">
        <v>1.4013659E-10</v>
      </c>
      <c r="R6">
        <v>9.6584342000000003E-4</v>
      </c>
      <c r="S6" s="1">
        <v>2.0474042999999998E-5</v>
      </c>
    </row>
    <row r="7" spans="1:19" x14ac:dyDescent="0.2">
      <c r="A7" t="s">
        <v>29</v>
      </c>
      <c r="B7">
        <v>3.5217000000000001</v>
      </c>
      <c r="C7" t="s">
        <v>30</v>
      </c>
      <c r="D7" s="1">
        <v>724714580</v>
      </c>
      <c r="E7">
        <v>5481.8788999999997</v>
      </c>
      <c r="F7">
        <v>0.18856837000000001</v>
      </c>
      <c r="G7">
        <v>2.0035949999999999E-3</v>
      </c>
      <c r="H7" s="1">
        <v>1.0103472000000001E-5</v>
      </c>
      <c r="I7" s="1">
        <v>3.4925470000000001E-8</v>
      </c>
      <c r="J7" s="1">
        <v>7.7106536E-6</v>
      </c>
      <c r="K7" s="1">
        <v>4.4782737E-7</v>
      </c>
      <c r="L7">
        <v>2.5623493000000001E-2</v>
      </c>
      <c r="M7">
        <v>1.3921827000000001E-4</v>
      </c>
      <c r="N7">
        <v>-1.4632529000000001</v>
      </c>
      <c r="O7">
        <v>3.6480082E-3</v>
      </c>
      <c r="P7" s="1">
        <v>2.0482406999999998E-8</v>
      </c>
      <c r="Q7" s="1">
        <v>1.3855796E-10</v>
      </c>
      <c r="R7">
        <v>1.3845388999999999E-3</v>
      </c>
      <c r="S7" s="1">
        <v>1.9600945E-5</v>
      </c>
    </row>
    <row r="8" spans="1:19" x14ac:dyDescent="0.2">
      <c r="A8" t="s">
        <v>31</v>
      </c>
      <c r="B8">
        <v>3.5217000000000001</v>
      </c>
      <c r="C8" t="s">
        <v>32</v>
      </c>
      <c r="D8" s="1">
        <v>724710850</v>
      </c>
      <c r="E8">
        <v>5670.3688000000002</v>
      </c>
      <c r="F8">
        <v>0.18994195</v>
      </c>
      <c r="G8">
        <v>2.0313926000000001E-3</v>
      </c>
      <c r="H8" s="1">
        <v>1.0087976E-5</v>
      </c>
      <c r="I8" s="1">
        <v>3.5263527999999999E-8</v>
      </c>
      <c r="J8" s="1">
        <v>8.0255933000000006E-6</v>
      </c>
      <c r="K8" s="1">
        <v>4.4763945000000002E-7</v>
      </c>
      <c r="L8">
        <v>2.5506145000000001E-2</v>
      </c>
      <c r="M8">
        <v>1.4039154E-4</v>
      </c>
      <c r="N8">
        <v>-1.4713282000000001</v>
      </c>
      <c r="O8">
        <v>3.6957486999999998E-3</v>
      </c>
      <c r="P8" s="1">
        <v>2.0680119999999999E-8</v>
      </c>
      <c r="Q8" s="1">
        <v>1.4191159E-10</v>
      </c>
      <c r="R8">
        <v>1.2386707999999999E-3</v>
      </c>
      <c r="S8" s="1">
        <v>1.9937076E-5</v>
      </c>
    </row>
    <row r="9" spans="1:19" x14ac:dyDescent="0.2">
      <c r="A9" t="s">
        <v>33</v>
      </c>
      <c r="B9">
        <v>3.5217000000000001</v>
      </c>
      <c r="C9" t="s">
        <v>34</v>
      </c>
      <c r="D9" s="1">
        <v>724520780</v>
      </c>
      <c r="E9">
        <v>5648.2169999999996</v>
      </c>
      <c r="F9">
        <v>0.18740651</v>
      </c>
      <c r="G9">
        <v>2.0679462999999999E-3</v>
      </c>
      <c r="H9" s="1">
        <v>1.0027234000000001E-5</v>
      </c>
      <c r="I9" s="1">
        <v>3.5991686999999998E-8</v>
      </c>
      <c r="J9" s="1">
        <v>7.1503975E-6</v>
      </c>
      <c r="K9" s="1">
        <v>4.7236140000000003E-7</v>
      </c>
      <c r="L9">
        <v>2.5829784000000001E-2</v>
      </c>
      <c r="M9">
        <v>1.4492678999999999E-4</v>
      </c>
      <c r="N9">
        <v>-1.4628105</v>
      </c>
      <c r="O9">
        <v>3.7670269E-3</v>
      </c>
      <c r="P9" s="1">
        <v>2.0534102E-8</v>
      </c>
      <c r="Q9" s="1">
        <v>1.4349555999999999E-10</v>
      </c>
      <c r="R9">
        <v>1.2234239E-3</v>
      </c>
      <c r="S9" s="1">
        <v>2.0552619999999998E-5</v>
      </c>
    </row>
    <row r="10" spans="1:19" x14ac:dyDescent="0.2">
      <c r="A10" t="s">
        <v>35</v>
      </c>
      <c r="B10">
        <v>3.5217000000000001</v>
      </c>
      <c r="C10" t="s">
        <v>36</v>
      </c>
      <c r="D10" s="1">
        <v>724635190</v>
      </c>
      <c r="E10">
        <v>5958.0518000000002</v>
      </c>
      <c r="F10">
        <v>0.19009735</v>
      </c>
      <c r="G10">
        <v>2.1179911000000001E-3</v>
      </c>
      <c r="H10" s="1">
        <v>1.0095076E-5</v>
      </c>
      <c r="I10" s="1">
        <v>3.6768221000000003E-8</v>
      </c>
      <c r="J10" s="1">
        <v>8.0906664000000004E-6</v>
      </c>
      <c r="K10" s="1">
        <v>4.6551586000000002E-7</v>
      </c>
      <c r="L10">
        <v>2.5738490999999999E-2</v>
      </c>
      <c r="M10">
        <v>1.4727652000000001E-4</v>
      </c>
      <c r="N10">
        <v>-1.4655328000000001</v>
      </c>
      <c r="O10">
        <v>3.8416231000000002E-3</v>
      </c>
      <c r="P10" s="1">
        <v>2.0494477000000001E-8</v>
      </c>
      <c r="Q10" s="1">
        <v>1.4601675E-10</v>
      </c>
      <c r="R10">
        <v>9.9884991000000005E-4</v>
      </c>
      <c r="S10" s="1">
        <v>2.0756088999999999E-5</v>
      </c>
    </row>
    <row r="11" spans="1:19" x14ac:dyDescent="0.2">
      <c r="A11" t="s">
        <v>37</v>
      </c>
      <c r="B11">
        <v>3.5217000000000001</v>
      </c>
      <c r="C11" t="s">
        <v>38</v>
      </c>
      <c r="D11" s="1">
        <v>724743700</v>
      </c>
      <c r="E11">
        <v>5518.4174999999996</v>
      </c>
      <c r="F11">
        <v>0.18854974999999999</v>
      </c>
      <c r="G11">
        <v>2.0651803999999999E-3</v>
      </c>
      <c r="H11" s="1">
        <v>1.0047481E-5</v>
      </c>
      <c r="I11" s="1">
        <v>3.6023461999999999E-8</v>
      </c>
      <c r="J11" s="1">
        <v>7.8754403000000001E-6</v>
      </c>
      <c r="K11" s="1">
        <v>4.60685E-7</v>
      </c>
      <c r="L11">
        <v>2.5499676999999998E-2</v>
      </c>
      <c r="M11">
        <v>1.4449495E-4</v>
      </c>
      <c r="N11">
        <v>-1.4855499000000001</v>
      </c>
      <c r="O11">
        <v>3.8034470000000002E-3</v>
      </c>
      <c r="P11" s="1">
        <v>2.0508364000000001E-8</v>
      </c>
      <c r="Q11" s="1">
        <v>1.4469957E-10</v>
      </c>
      <c r="R11">
        <v>1.2534094E-3</v>
      </c>
      <c r="S11" s="1">
        <v>2.0439179000000002E-5</v>
      </c>
    </row>
    <row r="12" spans="1:19" x14ac:dyDescent="0.2">
      <c r="A12" t="s">
        <v>39</v>
      </c>
      <c r="B12">
        <v>3.5217000000000001</v>
      </c>
      <c r="C12" t="s">
        <v>40</v>
      </c>
      <c r="D12" s="1">
        <v>724779510</v>
      </c>
      <c r="E12">
        <v>5620.9216999999999</v>
      </c>
      <c r="F12">
        <v>0.18654071</v>
      </c>
      <c r="G12">
        <v>3.8111642999999998E-3</v>
      </c>
      <c r="H12" s="1">
        <v>1.0066470000000001E-5</v>
      </c>
      <c r="I12" s="1">
        <v>6.6383814999999998E-8</v>
      </c>
      <c r="J12" s="1">
        <v>6.6715413999999998E-6</v>
      </c>
      <c r="K12" s="1">
        <v>8.8302997999999997E-7</v>
      </c>
      <c r="L12">
        <v>1.2885788E-2</v>
      </c>
      <c r="M12">
        <v>1.7896162000000001E-4</v>
      </c>
      <c r="N12">
        <v>-1.3340742000000001</v>
      </c>
      <c r="O12">
        <v>9.4141885999999998E-3</v>
      </c>
      <c r="P12" s="1">
        <v>3.5276313000000002E-8</v>
      </c>
      <c r="Q12" s="1">
        <v>6.4877655000000005E-10</v>
      </c>
      <c r="R12">
        <v>1.0668997000000001E-3</v>
      </c>
      <c r="S12" s="1">
        <v>3.7602935999999997E-5</v>
      </c>
    </row>
    <row r="13" spans="1:19" x14ac:dyDescent="0.2">
      <c r="A13" t="s">
        <v>41</v>
      </c>
      <c r="B13">
        <v>3.5217000000000001</v>
      </c>
      <c r="C13" t="s">
        <v>42</v>
      </c>
      <c r="D13" s="1">
        <v>724657970</v>
      </c>
      <c r="E13">
        <v>5709.0397000000003</v>
      </c>
      <c r="F13">
        <v>0.19582350000000001</v>
      </c>
      <c r="G13">
        <v>2.0938362E-3</v>
      </c>
      <c r="H13" s="1">
        <v>1.0194359E-5</v>
      </c>
      <c r="I13" s="1">
        <v>3.5771414000000003E-8</v>
      </c>
      <c r="J13" s="1">
        <v>9.1285822999999999E-6</v>
      </c>
      <c r="K13" s="1">
        <v>4.3430327000000002E-7</v>
      </c>
      <c r="L13">
        <v>2.5409190000000002E-2</v>
      </c>
      <c r="M13">
        <v>1.4497172E-4</v>
      </c>
      <c r="N13">
        <v>-1.4729262999999999</v>
      </c>
      <c r="O13">
        <v>3.8293321E-3</v>
      </c>
      <c r="P13" s="1">
        <v>2.0257149999999999E-8</v>
      </c>
      <c r="Q13" s="1">
        <v>1.4365843000000001E-10</v>
      </c>
      <c r="R13">
        <v>9.2349477000000003E-4</v>
      </c>
      <c r="S13" s="1">
        <v>2.0104919E-5</v>
      </c>
    </row>
    <row r="14" spans="1:19" x14ac:dyDescent="0.2">
      <c r="A14" t="s">
        <v>43</v>
      </c>
      <c r="B14">
        <v>3.5217000000000001</v>
      </c>
      <c r="C14" t="s">
        <v>44</v>
      </c>
      <c r="D14" s="1">
        <v>724530140</v>
      </c>
      <c r="E14">
        <v>5738.6899000000003</v>
      </c>
      <c r="F14">
        <v>0.19628042000000001</v>
      </c>
      <c r="G14">
        <v>2.1122531000000002E-3</v>
      </c>
      <c r="H14" s="1">
        <v>1.0145672E-5</v>
      </c>
      <c r="I14" s="1">
        <v>3.5756455000000002E-8</v>
      </c>
      <c r="J14" s="1">
        <v>8.6106099999999992E-6</v>
      </c>
      <c r="K14" s="1">
        <v>4.4334232E-7</v>
      </c>
      <c r="L14">
        <v>2.6510971000000001E-2</v>
      </c>
      <c r="M14">
        <v>1.4756203E-4</v>
      </c>
      <c r="N14">
        <v>-1.4583316</v>
      </c>
      <c r="O14">
        <v>3.7362296E-3</v>
      </c>
      <c r="P14" s="1">
        <v>2.0196591000000001E-8</v>
      </c>
      <c r="Q14" s="1">
        <v>1.3967737E-10</v>
      </c>
      <c r="R14">
        <v>9.4403377000000001E-4</v>
      </c>
      <c r="S14" s="1">
        <v>2.0484667E-5</v>
      </c>
    </row>
    <row r="15" spans="1:19" x14ac:dyDescent="0.2">
      <c r="A15" t="s">
        <v>45</v>
      </c>
      <c r="B15">
        <v>3.5217000000000001</v>
      </c>
      <c r="C15" t="s">
        <v>46</v>
      </c>
      <c r="D15" s="1">
        <v>724882610</v>
      </c>
      <c r="E15">
        <v>6060.4043000000001</v>
      </c>
      <c r="F15">
        <v>0.19828944000000001</v>
      </c>
      <c r="G15">
        <v>2.1301307999999999E-3</v>
      </c>
      <c r="H15" s="1">
        <v>1.0184660999999999E-5</v>
      </c>
      <c r="I15" s="1">
        <v>3.6038912999999998E-8</v>
      </c>
      <c r="J15" s="1">
        <v>9.3970834000000001E-6</v>
      </c>
      <c r="K15" s="1">
        <v>4.3361631999999998E-7</v>
      </c>
      <c r="L15">
        <v>2.6009553000000001E-2</v>
      </c>
      <c r="M15">
        <v>1.4718117E-4</v>
      </c>
      <c r="N15">
        <v>-1.4876403</v>
      </c>
      <c r="O15">
        <v>3.7978350999999999E-3</v>
      </c>
      <c r="P15" s="1">
        <v>2.0345342000000001E-8</v>
      </c>
      <c r="Q15" s="1">
        <v>1.4318697999999999E-10</v>
      </c>
      <c r="R15">
        <v>1.0186473E-3</v>
      </c>
      <c r="S15" s="1">
        <v>2.0494311000000001E-5</v>
      </c>
    </row>
    <row r="16" spans="1:19" x14ac:dyDescent="0.2">
      <c r="A16" t="s">
        <v>47</v>
      </c>
      <c r="B16">
        <v>3.5217000000000001</v>
      </c>
      <c r="C16" t="s">
        <v>48</v>
      </c>
      <c r="D16" s="1">
        <v>724798980</v>
      </c>
      <c r="E16">
        <v>5633.1170000000002</v>
      </c>
      <c r="F16">
        <v>0.18736037</v>
      </c>
      <c r="G16">
        <v>2.0565686000000001E-3</v>
      </c>
      <c r="H16" s="1">
        <v>1.0098312000000001E-5</v>
      </c>
      <c r="I16" s="1">
        <v>3.6432307E-8</v>
      </c>
      <c r="J16" s="1">
        <v>8.6073910000000003E-6</v>
      </c>
      <c r="K16" s="1">
        <v>4.5294360000000001E-7</v>
      </c>
      <c r="L16">
        <v>2.5107694999999999E-2</v>
      </c>
      <c r="M16">
        <v>1.4235809E-4</v>
      </c>
      <c r="N16">
        <v>-1.4721073</v>
      </c>
      <c r="O16">
        <v>3.8069051999999998E-3</v>
      </c>
      <c r="P16" s="1">
        <v>2.0600755999999999E-8</v>
      </c>
      <c r="Q16" s="1">
        <v>1.4554429E-10</v>
      </c>
      <c r="R16">
        <v>1.2146895000000001E-3</v>
      </c>
      <c r="S16" s="1">
        <v>2.0140949E-5</v>
      </c>
    </row>
    <row r="17" spans="1:19" x14ac:dyDescent="0.2">
      <c r="A17" t="s">
        <v>49</v>
      </c>
      <c r="B17">
        <v>3.5217000000000001</v>
      </c>
      <c r="C17" t="s">
        <v>50</v>
      </c>
      <c r="D17" s="1">
        <v>724784640</v>
      </c>
      <c r="E17">
        <v>5572.9660999999996</v>
      </c>
      <c r="F17">
        <v>0.19124368</v>
      </c>
      <c r="G17">
        <v>2.0739664000000001E-3</v>
      </c>
      <c r="H17" s="1">
        <v>1.011209E-5</v>
      </c>
      <c r="I17" s="1">
        <v>3.5975370999999999E-8</v>
      </c>
      <c r="J17" s="1">
        <v>8.5296530000000004E-6</v>
      </c>
      <c r="K17" s="1">
        <v>4.4812932999999998E-7</v>
      </c>
      <c r="L17">
        <v>2.5224982E-2</v>
      </c>
      <c r="M17">
        <v>1.4167108000000001E-4</v>
      </c>
      <c r="N17">
        <v>-1.4720310999999999</v>
      </c>
      <c r="O17">
        <v>3.7717579E-3</v>
      </c>
      <c r="P17" s="1">
        <v>2.0899616999999999E-8</v>
      </c>
      <c r="Q17" s="1">
        <v>1.4655853999999999E-10</v>
      </c>
      <c r="R17">
        <v>1.0070939E-3</v>
      </c>
      <c r="S17" s="1">
        <v>2.0254329E-5</v>
      </c>
    </row>
    <row r="18" spans="1:19" x14ac:dyDescent="0.2">
      <c r="A18" t="s">
        <v>51</v>
      </c>
      <c r="B18">
        <v>3.5217000000000001</v>
      </c>
      <c r="C18" t="s">
        <v>52</v>
      </c>
      <c r="D18" s="1">
        <v>724777370</v>
      </c>
      <c r="E18">
        <v>5585.2273999999998</v>
      </c>
      <c r="F18">
        <v>0.19589044</v>
      </c>
      <c r="G18">
        <v>2.1052787000000002E-3</v>
      </c>
      <c r="H18" s="1">
        <v>1.0192243E-5</v>
      </c>
      <c r="I18" s="1">
        <v>3.5999824000000002E-8</v>
      </c>
      <c r="J18" s="1">
        <v>9.2438958000000006E-6</v>
      </c>
      <c r="K18" s="1">
        <v>4.3532556999999999E-7</v>
      </c>
      <c r="L18">
        <v>2.5730633999999999E-2</v>
      </c>
      <c r="M18">
        <v>1.4400158000000001E-4</v>
      </c>
      <c r="N18">
        <v>-1.4825153</v>
      </c>
      <c r="O18">
        <v>3.7568253000000002E-3</v>
      </c>
      <c r="P18" s="1">
        <v>2.057885E-8</v>
      </c>
      <c r="Q18" s="1">
        <v>1.4347441999999999E-10</v>
      </c>
      <c r="R18">
        <v>1.1550137999999999E-3</v>
      </c>
      <c r="S18" s="1">
        <v>2.0224302000000001E-5</v>
      </c>
    </row>
    <row r="19" spans="1:19" x14ac:dyDescent="0.2">
      <c r="A19" t="s">
        <v>53</v>
      </c>
      <c r="B19">
        <v>3.5217000000000001</v>
      </c>
      <c r="C19" t="s">
        <v>54</v>
      </c>
      <c r="D19" s="1">
        <v>724750090</v>
      </c>
      <c r="E19">
        <v>5950.3230999999996</v>
      </c>
      <c r="F19">
        <v>0.18912176</v>
      </c>
      <c r="G19">
        <v>2.0985226E-3</v>
      </c>
      <c r="H19" s="1">
        <v>1.0034071999999999E-5</v>
      </c>
      <c r="I19" s="1">
        <v>3.6554767000000001E-8</v>
      </c>
      <c r="J19" s="1">
        <v>8.0557639999999999E-6</v>
      </c>
      <c r="K19" s="1">
        <v>4.6492949000000002E-7</v>
      </c>
      <c r="L19">
        <v>2.583686E-2</v>
      </c>
      <c r="M19">
        <v>1.4803780000000001E-4</v>
      </c>
      <c r="N19">
        <v>-1.4701922000000001</v>
      </c>
      <c r="O19">
        <v>3.8463307E-3</v>
      </c>
      <c r="P19" s="1">
        <v>2.0340507999999999E-8</v>
      </c>
      <c r="Q19" s="1">
        <v>1.4495691999999999E-10</v>
      </c>
      <c r="R19">
        <v>1.1570954E-3</v>
      </c>
      <c r="S19" s="1">
        <v>2.0826477000000002E-5</v>
      </c>
    </row>
    <row r="20" spans="1:19" x14ac:dyDescent="0.2">
      <c r="A20" t="s">
        <v>55</v>
      </c>
      <c r="B20">
        <v>3.5217000000000001</v>
      </c>
      <c r="C20" t="s">
        <v>56</v>
      </c>
      <c r="D20" s="1">
        <v>724602510</v>
      </c>
      <c r="E20">
        <v>5806.8827000000001</v>
      </c>
      <c r="F20">
        <v>0.19267081</v>
      </c>
      <c r="G20">
        <v>2.1946434000000002E-3</v>
      </c>
      <c r="H20" s="1">
        <v>1.0124432999999999E-5</v>
      </c>
      <c r="I20" s="1">
        <v>3.7352224999999998E-8</v>
      </c>
      <c r="J20" s="1">
        <v>7.4494360000000003E-6</v>
      </c>
      <c r="K20" s="1">
        <v>4.8270901999999995E-7</v>
      </c>
      <c r="L20">
        <v>2.596354E-2</v>
      </c>
      <c r="M20">
        <v>1.5134527E-4</v>
      </c>
      <c r="N20">
        <v>-1.4696264999999999</v>
      </c>
      <c r="O20">
        <v>3.9135176000000002E-3</v>
      </c>
      <c r="P20" s="1">
        <v>2.0606594E-8</v>
      </c>
      <c r="Q20" s="1">
        <v>1.4967558E-10</v>
      </c>
      <c r="R20">
        <v>9.0191480000000003E-4</v>
      </c>
      <c r="S20" s="1">
        <v>2.1377866000000001E-5</v>
      </c>
    </row>
    <row r="21" spans="1:19" x14ac:dyDescent="0.2">
      <c r="A21" t="s">
        <v>57</v>
      </c>
      <c r="B21">
        <v>3.5217000000000001</v>
      </c>
      <c r="C21" t="s">
        <v>58</v>
      </c>
      <c r="D21" s="1">
        <v>724557600</v>
      </c>
      <c r="E21">
        <v>5830.3148000000001</v>
      </c>
      <c r="F21">
        <v>0.19498463999999999</v>
      </c>
      <c r="G21">
        <v>2.1713475999999999E-3</v>
      </c>
      <c r="H21" s="1">
        <v>1.0133656000000001E-5</v>
      </c>
      <c r="I21" s="1">
        <v>3.6881911E-8</v>
      </c>
      <c r="J21" s="1">
        <v>8.3415420999999995E-6</v>
      </c>
      <c r="K21" s="1">
        <v>4.6192698999999999E-7</v>
      </c>
      <c r="L21">
        <v>2.6258409999999999E-2</v>
      </c>
      <c r="M21">
        <v>1.5133375999999999E-4</v>
      </c>
      <c r="N21">
        <v>-1.4578264999999999</v>
      </c>
      <c r="O21">
        <v>3.8689940000000002E-3</v>
      </c>
      <c r="P21" s="1">
        <v>2.0297996E-8</v>
      </c>
      <c r="Q21" s="1">
        <v>1.4545938000000001E-10</v>
      </c>
      <c r="R21">
        <v>1.0216223999999999E-3</v>
      </c>
      <c r="S21" s="1">
        <v>2.1110019000000001E-5</v>
      </c>
    </row>
    <row r="22" spans="1:19" x14ac:dyDescent="0.2">
      <c r="A22" t="s">
        <v>59</v>
      </c>
      <c r="B22">
        <v>3.5217000000000001</v>
      </c>
      <c r="C22" t="s">
        <v>60</v>
      </c>
      <c r="D22" s="1">
        <v>724598700</v>
      </c>
      <c r="E22">
        <v>5938.6941999999999</v>
      </c>
      <c r="F22">
        <v>0.19147272000000001</v>
      </c>
      <c r="G22">
        <v>2.1272231000000002E-3</v>
      </c>
      <c r="H22" s="1">
        <v>1.0068810999999999E-5</v>
      </c>
      <c r="I22" s="1">
        <v>3.6604826E-8</v>
      </c>
      <c r="J22" s="1">
        <v>7.9989075999999994E-6</v>
      </c>
      <c r="K22" s="1">
        <v>4.6559928000000002E-7</v>
      </c>
      <c r="L22">
        <v>2.5823397000000001E-2</v>
      </c>
      <c r="M22">
        <v>1.4934715E-4</v>
      </c>
      <c r="N22">
        <v>-1.4542283</v>
      </c>
      <c r="O22">
        <v>3.8830214000000001E-3</v>
      </c>
      <c r="P22" s="1">
        <v>2.0337418E-8</v>
      </c>
      <c r="Q22" s="1">
        <v>1.4629867E-10</v>
      </c>
      <c r="R22">
        <v>8.6733006999999997E-4</v>
      </c>
      <c r="S22" s="1">
        <v>2.0959559E-5</v>
      </c>
    </row>
    <row r="23" spans="1:19" x14ac:dyDescent="0.2">
      <c r="A23" t="s">
        <v>61</v>
      </c>
      <c r="B23">
        <v>3.5217000000000001</v>
      </c>
      <c r="C23" t="s">
        <v>62</v>
      </c>
      <c r="D23" s="1">
        <v>725012140</v>
      </c>
      <c r="E23">
        <v>5551.8404</v>
      </c>
      <c r="F23">
        <v>0.19441328999999999</v>
      </c>
      <c r="G23">
        <v>2.0424608000000001E-3</v>
      </c>
      <c r="H23" s="1">
        <v>1.0153451E-5</v>
      </c>
      <c r="I23" s="1">
        <v>3.5313829000000003E-8</v>
      </c>
      <c r="J23" s="1">
        <v>9.6358851999999992E-6</v>
      </c>
      <c r="K23" s="1">
        <v>4.2201436999999998E-7</v>
      </c>
      <c r="L23">
        <v>2.5387819999999998E-2</v>
      </c>
      <c r="M23">
        <v>1.4074922999999999E-4</v>
      </c>
      <c r="N23">
        <v>-1.4977212</v>
      </c>
      <c r="O23">
        <v>3.7210432999999999E-3</v>
      </c>
      <c r="P23" s="1">
        <v>2.052531E-8</v>
      </c>
      <c r="Q23" s="1">
        <v>1.4170016999999999E-10</v>
      </c>
      <c r="R23">
        <v>1.0629578000000001E-3</v>
      </c>
      <c r="S23" s="1">
        <v>1.9777290000000001E-5</v>
      </c>
    </row>
    <row r="24" spans="1:19" x14ac:dyDescent="0.2">
      <c r="A24" t="s">
        <v>63</v>
      </c>
      <c r="B24">
        <v>3.5217000000000001</v>
      </c>
      <c r="C24" t="s">
        <v>64</v>
      </c>
      <c r="D24" s="1">
        <v>724838580</v>
      </c>
      <c r="E24">
        <v>5700.3815999999997</v>
      </c>
      <c r="F24">
        <v>0.19157337999999999</v>
      </c>
      <c r="G24">
        <v>2.0757432000000002E-3</v>
      </c>
      <c r="H24" s="1">
        <v>1.0150104000000001E-5</v>
      </c>
      <c r="I24" s="1">
        <v>3.6129189000000003E-8</v>
      </c>
      <c r="J24" s="1">
        <v>8.9177875000000004E-6</v>
      </c>
      <c r="K24" s="1">
        <v>4.4301133E-7</v>
      </c>
      <c r="L24">
        <v>2.5019110000000001E-2</v>
      </c>
      <c r="M24">
        <v>1.4207398000000001E-4</v>
      </c>
      <c r="N24">
        <v>-1.4866599</v>
      </c>
      <c r="O24">
        <v>3.81226E-3</v>
      </c>
      <c r="P24" s="1">
        <v>2.0713111000000001E-8</v>
      </c>
      <c r="Q24" s="1">
        <v>1.4666456000000001E-10</v>
      </c>
      <c r="R24">
        <v>9.1127788E-4</v>
      </c>
      <c r="S24" s="1">
        <v>2.0113662E-5</v>
      </c>
    </row>
    <row r="25" spans="1:19" x14ac:dyDescent="0.2">
      <c r="A25" t="s">
        <v>65</v>
      </c>
      <c r="B25">
        <v>3.5217000000000001</v>
      </c>
      <c r="C25" t="s">
        <v>66</v>
      </c>
      <c r="D25" s="1">
        <v>724791960</v>
      </c>
      <c r="E25">
        <v>5592.5255999999999</v>
      </c>
      <c r="F25">
        <v>0.18821305999999999</v>
      </c>
      <c r="G25">
        <v>2.0918523E-3</v>
      </c>
      <c r="H25" s="1">
        <v>1.0031922999999999E-5</v>
      </c>
      <c r="I25" s="1">
        <v>3.6749971999999999E-8</v>
      </c>
      <c r="J25" s="1">
        <v>8.3985540000000004E-6</v>
      </c>
      <c r="K25" s="1">
        <v>4.6194392E-7</v>
      </c>
      <c r="L25">
        <v>2.5637064000000001E-2</v>
      </c>
      <c r="M25">
        <v>1.4808215999999999E-4</v>
      </c>
      <c r="N25">
        <v>-1.4757244</v>
      </c>
      <c r="O25">
        <v>3.8769701E-3</v>
      </c>
      <c r="P25" s="1">
        <v>2.0260250000000001E-8</v>
      </c>
      <c r="Q25" s="1">
        <v>1.4546658000000001E-10</v>
      </c>
      <c r="R25">
        <v>1.1811034999999999E-3</v>
      </c>
      <c r="S25" s="1">
        <v>2.0769442999999999E-5</v>
      </c>
    </row>
    <row r="26" spans="1:19" x14ac:dyDescent="0.2">
      <c r="A26" t="s">
        <v>67</v>
      </c>
      <c r="B26">
        <v>3.5217000000000001</v>
      </c>
      <c r="C26" t="s">
        <v>68</v>
      </c>
      <c r="D26" s="1">
        <v>724867700</v>
      </c>
      <c r="E26">
        <v>5784.9132</v>
      </c>
      <c r="F26">
        <v>0.18943503</v>
      </c>
      <c r="G26">
        <v>2.0108726000000001E-3</v>
      </c>
      <c r="H26" s="1">
        <v>1.0125782E-5</v>
      </c>
      <c r="I26" s="1">
        <v>3.5279520999999998E-8</v>
      </c>
      <c r="J26" s="1">
        <v>8.6739246000000004E-6</v>
      </c>
      <c r="K26" s="1">
        <v>4.3693444999999998E-7</v>
      </c>
      <c r="L26">
        <v>2.5018544E-2</v>
      </c>
      <c r="M26">
        <v>1.4045335999999999E-4</v>
      </c>
      <c r="N26">
        <v>-1.474181</v>
      </c>
      <c r="O26">
        <v>3.7684051999999999E-3</v>
      </c>
      <c r="P26" s="1">
        <v>2.0271638999999999E-8</v>
      </c>
      <c r="Q26" s="1">
        <v>1.4147704000000001E-10</v>
      </c>
      <c r="R26">
        <v>9.3131732999999996E-4</v>
      </c>
      <c r="S26" s="1">
        <v>1.9581607000000002E-5</v>
      </c>
    </row>
    <row r="27" spans="1:19" x14ac:dyDescent="0.2">
      <c r="A27" t="s">
        <v>69</v>
      </c>
      <c r="B27">
        <v>3.5217000000000001</v>
      </c>
      <c r="C27" t="s">
        <v>70</v>
      </c>
      <c r="D27" s="1">
        <v>724820770</v>
      </c>
      <c r="E27">
        <v>5743.9461000000001</v>
      </c>
      <c r="F27">
        <v>0.18939238999999999</v>
      </c>
      <c r="G27">
        <v>2.0728264E-3</v>
      </c>
      <c r="H27" s="1">
        <v>1.0133141E-5</v>
      </c>
      <c r="I27" s="1">
        <v>3.5967185000000003E-8</v>
      </c>
      <c r="J27" s="1">
        <v>7.6301159000000005E-6</v>
      </c>
      <c r="K27" s="1">
        <v>4.6171575000000002E-7</v>
      </c>
      <c r="L27">
        <v>2.5143924000000002E-2</v>
      </c>
      <c r="M27">
        <v>1.4313185E-4</v>
      </c>
      <c r="N27">
        <v>-1.487109</v>
      </c>
      <c r="O27">
        <v>3.8210139000000001E-3</v>
      </c>
      <c r="P27" s="1">
        <v>2.0544043999999999E-8</v>
      </c>
      <c r="Q27" s="1">
        <v>1.4565168E-10</v>
      </c>
      <c r="R27">
        <v>1.2993745E-3</v>
      </c>
      <c r="S27" s="1">
        <v>2.0155166999999999E-5</v>
      </c>
    </row>
    <row r="28" spans="1:19" x14ac:dyDescent="0.2">
      <c r="A28" t="s">
        <v>71</v>
      </c>
      <c r="B28">
        <v>3.5217000000000001</v>
      </c>
      <c r="C28" t="s">
        <v>72</v>
      </c>
      <c r="D28" s="1">
        <v>724950100</v>
      </c>
      <c r="E28">
        <v>6063.6027000000004</v>
      </c>
      <c r="F28">
        <v>0.18926507000000001</v>
      </c>
      <c r="G28">
        <v>2.1325314000000001E-3</v>
      </c>
      <c r="H28" s="1">
        <v>1.0092604E-5</v>
      </c>
      <c r="I28" s="1">
        <v>3.7143516000000003E-8</v>
      </c>
      <c r="J28" s="1">
        <v>7.9964701E-6</v>
      </c>
      <c r="K28" s="1">
        <v>4.7186177000000001E-7</v>
      </c>
      <c r="L28">
        <v>2.5535412E-2</v>
      </c>
      <c r="M28">
        <v>1.4838273999999999E-4</v>
      </c>
      <c r="N28">
        <v>-1.4999042</v>
      </c>
      <c r="O28">
        <v>3.8998371999999998E-3</v>
      </c>
      <c r="P28" s="1">
        <v>2.0492792E-8</v>
      </c>
      <c r="Q28" s="1">
        <v>1.4824971000000001E-10</v>
      </c>
      <c r="R28">
        <v>1.0739218000000001E-3</v>
      </c>
      <c r="S28" s="1">
        <v>2.0909645E-5</v>
      </c>
    </row>
    <row r="29" spans="1:19" x14ac:dyDescent="0.2">
      <c r="A29" t="s">
        <v>73</v>
      </c>
      <c r="B29">
        <v>3.5217000000000001</v>
      </c>
      <c r="C29" t="s">
        <v>74</v>
      </c>
      <c r="D29" s="1">
        <v>724812770</v>
      </c>
      <c r="E29">
        <v>5825.2951999999996</v>
      </c>
      <c r="F29">
        <v>0.19019243</v>
      </c>
      <c r="G29">
        <v>2.0743646999999998E-3</v>
      </c>
      <c r="H29" s="1">
        <v>1.0160771E-5</v>
      </c>
      <c r="I29" s="1">
        <v>3.6054265000000002E-8</v>
      </c>
      <c r="J29" s="1">
        <v>8.1135155000000002E-6</v>
      </c>
      <c r="K29" s="1">
        <v>4.5447636000000001E-7</v>
      </c>
      <c r="L29">
        <v>2.5403163999999999E-2</v>
      </c>
      <c r="M29">
        <v>1.4301909999999999E-4</v>
      </c>
      <c r="N29">
        <v>-1.4811407000000001</v>
      </c>
      <c r="O29">
        <v>3.7791923999999999E-3</v>
      </c>
      <c r="P29" s="1">
        <v>2.0483982000000001E-8</v>
      </c>
      <c r="Q29" s="1">
        <v>1.4357454000000001E-10</v>
      </c>
      <c r="R29">
        <v>1.2626857E-3</v>
      </c>
      <c r="S29" s="1">
        <v>2.0055837E-5</v>
      </c>
    </row>
    <row r="30" spans="1:19" x14ac:dyDescent="0.2">
      <c r="A30" t="s">
        <v>75</v>
      </c>
      <c r="B30">
        <v>3.5217000000000001</v>
      </c>
      <c r="C30" t="s">
        <v>76</v>
      </c>
      <c r="D30" s="1">
        <v>724658020</v>
      </c>
      <c r="E30">
        <v>5845.2044999999998</v>
      </c>
      <c r="F30">
        <v>0.19664200000000001</v>
      </c>
      <c r="G30">
        <v>2.0914105999999999E-3</v>
      </c>
      <c r="H30" s="1">
        <v>1.0217006E-5</v>
      </c>
      <c r="I30" s="1">
        <v>3.5909299E-8</v>
      </c>
      <c r="J30" s="1">
        <v>9.9031830000000005E-6</v>
      </c>
      <c r="K30" s="1">
        <v>4.2350241000000001E-7</v>
      </c>
      <c r="L30">
        <v>2.5507855999999999E-2</v>
      </c>
      <c r="M30">
        <v>1.4442103000000001E-4</v>
      </c>
      <c r="N30">
        <v>-1.4657955</v>
      </c>
      <c r="O30">
        <v>3.8004286E-3</v>
      </c>
      <c r="P30" s="1">
        <v>2.0243666999999999E-8</v>
      </c>
      <c r="Q30" s="1">
        <v>1.4245637E-10</v>
      </c>
      <c r="R30">
        <v>1.0245E-3</v>
      </c>
      <c r="S30" s="1">
        <v>1.9988936999999999E-5</v>
      </c>
    </row>
    <row r="31" spans="1:19" x14ac:dyDescent="0.2">
      <c r="A31" t="s">
        <v>77</v>
      </c>
      <c r="B31">
        <v>3.5217000000000001</v>
      </c>
      <c r="C31" t="s">
        <v>78</v>
      </c>
      <c r="D31" s="1">
        <v>724635220</v>
      </c>
      <c r="E31">
        <v>5439.8558000000003</v>
      </c>
      <c r="F31">
        <v>0.19242327000000001</v>
      </c>
      <c r="G31">
        <v>1.9638912999999998E-3</v>
      </c>
      <c r="H31" s="1">
        <v>1.0173815E-5</v>
      </c>
      <c r="I31" s="1">
        <v>3.4075623999999999E-8</v>
      </c>
      <c r="J31" s="1">
        <v>8.9899215000000006E-6</v>
      </c>
      <c r="K31" s="1">
        <v>4.1623627999999998E-7</v>
      </c>
      <c r="L31">
        <v>2.5051455E-2</v>
      </c>
      <c r="M31">
        <v>1.3648796000000001E-4</v>
      </c>
      <c r="N31">
        <v>-1.4598114</v>
      </c>
      <c r="O31">
        <v>3.6574061999999998E-3</v>
      </c>
      <c r="P31" s="1">
        <v>2.0229544E-8</v>
      </c>
      <c r="Q31" s="1">
        <v>1.3697948000000001E-10</v>
      </c>
      <c r="R31">
        <v>1.0495671E-3</v>
      </c>
      <c r="S31" s="1">
        <v>1.8936334999999999E-5</v>
      </c>
    </row>
    <row r="32" spans="1:19" x14ac:dyDescent="0.2">
      <c r="A32" t="s">
        <v>79</v>
      </c>
      <c r="B32">
        <v>3.5217000000000001</v>
      </c>
      <c r="C32" t="s">
        <v>80</v>
      </c>
      <c r="D32" s="1">
        <v>724811090</v>
      </c>
      <c r="E32">
        <v>5569.0906999999997</v>
      </c>
      <c r="F32">
        <v>0.19492875000000001</v>
      </c>
      <c r="G32">
        <v>2.0526143E-3</v>
      </c>
      <c r="H32" s="1">
        <v>1.0198869E-5</v>
      </c>
      <c r="I32" s="1">
        <v>3.5440731000000003E-8</v>
      </c>
      <c r="J32" s="1">
        <v>9.6588222999999997E-6</v>
      </c>
      <c r="K32" s="1">
        <v>4.221081E-7</v>
      </c>
      <c r="L32">
        <v>2.4965726000000001E-2</v>
      </c>
      <c r="M32">
        <v>1.4195403000000001E-4</v>
      </c>
      <c r="N32">
        <v>-1.4647389</v>
      </c>
      <c r="O32">
        <v>3.8171434E-3</v>
      </c>
      <c r="P32" s="1">
        <v>2.0266925000000001E-8</v>
      </c>
      <c r="Q32" s="1">
        <v>1.4325838999999999E-10</v>
      </c>
      <c r="R32">
        <v>1.044148E-3</v>
      </c>
      <c r="S32" s="1">
        <v>1.9690806000000001E-5</v>
      </c>
    </row>
    <row r="33" spans="1:19" x14ac:dyDescent="0.2">
      <c r="A33" t="s">
        <v>81</v>
      </c>
      <c r="B33">
        <v>3.5217000000000001</v>
      </c>
      <c r="C33" t="s">
        <v>82</v>
      </c>
      <c r="D33" s="1">
        <v>724719440</v>
      </c>
      <c r="E33">
        <v>6042.1989999999996</v>
      </c>
      <c r="F33">
        <v>0.18574797000000001</v>
      </c>
      <c r="G33">
        <v>2.0417895999999998E-3</v>
      </c>
      <c r="H33" s="1">
        <v>1.0043011E-5</v>
      </c>
      <c r="I33" s="1">
        <v>3.5442318000000003E-8</v>
      </c>
      <c r="J33" s="1">
        <v>6.0454210999999996E-6</v>
      </c>
      <c r="K33" s="1">
        <v>4.8237029999999997E-7</v>
      </c>
      <c r="L33">
        <v>2.5796286000000002E-2</v>
      </c>
      <c r="M33">
        <v>1.4459640000000001E-4</v>
      </c>
      <c r="N33">
        <v>-1.4704895</v>
      </c>
      <c r="O33">
        <v>3.7623486000000002E-3</v>
      </c>
      <c r="P33" s="1">
        <v>2.0210478E-8</v>
      </c>
      <c r="Q33" s="1">
        <v>1.4077029E-10</v>
      </c>
      <c r="R33">
        <v>1.1137676999999999E-3</v>
      </c>
      <c r="S33" s="1">
        <v>2.0225589000000002E-5</v>
      </c>
    </row>
    <row r="34" spans="1:19" x14ac:dyDescent="0.2">
      <c r="A34" t="s">
        <v>83</v>
      </c>
      <c r="B34">
        <v>3.5217000000000001</v>
      </c>
      <c r="C34" t="s">
        <v>84</v>
      </c>
      <c r="D34" s="1">
        <v>725013190</v>
      </c>
      <c r="E34">
        <v>5817.6018000000004</v>
      </c>
      <c r="F34">
        <v>0.19799534999999999</v>
      </c>
      <c r="G34">
        <v>2.1249517000000002E-3</v>
      </c>
      <c r="H34" s="1">
        <v>1.0205432E-5</v>
      </c>
      <c r="I34" s="1">
        <v>3.5932485E-8</v>
      </c>
      <c r="J34" s="1">
        <v>9.1740639000000007E-6</v>
      </c>
      <c r="K34" s="1">
        <v>4.3527560999999997E-7</v>
      </c>
      <c r="L34">
        <v>2.5866653E-2</v>
      </c>
      <c r="M34">
        <v>1.4572053E-4</v>
      </c>
      <c r="N34">
        <v>-1.4854852000000001</v>
      </c>
      <c r="O34">
        <v>3.7816896000000002E-3</v>
      </c>
      <c r="P34" s="1">
        <v>2.0464093E-8</v>
      </c>
      <c r="Q34" s="1">
        <v>1.4350786000000001E-10</v>
      </c>
      <c r="R34">
        <v>1.3063052000000001E-3</v>
      </c>
      <c r="S34" s="1">
        <v>2.0358110000000001E-5</v>
      </c>
    </row>
    <row r="35" spans="1:19" x14ac:dyDescent="0.2">
      <c r="A35" t="s">
        <v>85</v>
      </c>
      <c r="B35">
        <v>3.5217000000000001</v>
      </c>
      <c r="C35" t="s">
        <v>86</v>
      </c>
      <c r="D35" s="1">
        <v>725197220</v>
      </c>
      <c r="E35">
        <v>5829.4696000000004</v>
      </c>
      <c r="F35">
        <v>0.19058908999999999</v>
      </c>
      <c r="G35">
        <v>2.1186209000000002E-3</v>
      </c>
      <c r="H35" s="1">
        <v>1.0066736E-5</v>
      </c>
      <c r="I35" s="1">
        <v>3.6675102000000002E-8</v>
      </c>
      <c r="J35" s="1">
        <v>8.1238164000000002E-6</v>
      </c>
      <c r="K35" s="1">
        <v>4.6451586E-7</v>
      </c>
      <c r="L35">
        <v>2.5393335999999999E-2</v>
      </c>
      <c r="M35">
        <v>1.4706747000000001E-4</v>
      </c>
      <c r="N35">
        <v>-1.4921278</v>
      </c>
      <c r="O35">
        <v>3.8884197E-3</v>
      </c>
      <c r="P35" s="1">
        <v>2.0641950000000001E-8</v>
      </c>
      <c r="Q35" s="1">
        <v>1.4900372E-10</v>
      </c>
      <c r="R35">
        <v>1.1579353E-3</v>
      </c>
      <c r="S35" s="1">
        <v>2.088475E-5</v>
      </c>
    </row>
    <row r="36" spans="1:19" x14ac:dyDescent="0.2">
      <c r="A36" t="s">
        <v>87</v>
      </c>
      <c r="B36">
        <v>3.5217000000000001</v>
      </c>
      <c r="C36" t="s">
        <v>88</v>
      </c>
      <c r="D36" s="1">
        <v>725387520</v>
      </c>
      <c r="E36">
        <v>5738.5841</v>
      </c>
      <c r="F36">
        <v>0.18447406</v>
      </c>
      <c r="G36">
        <v>3.9786348000000003E-3</v>
      </c>
      <c r="H36" s="1">
        <v>9.9998971000000007E-6</v>
      </c>
      <c r="I36" s="1">
        <v>7.0018691000000004E-8</v>
      </c>
      <c r="J36" s="1">
        <v>6.7239457000000003E-6</v>
      </c>
      <c r="K36" s="1">
        <v>9.3300546000000001E-7</v>
      </c>
      <c r="L36">
        <v>1.197376E-2</v>
      </c>
      <c r="M36">
        <v>1.8594198E-4</v>
      </c>
      <c r="N36">
        <v>-1.3412188</v>
      </c>
      <c r="O36">
        <v>1.0529168E-2</v>
      </c>
      <c r="P36" s="1">
        <v>3.601898E-8</v>
      </c>
      <c r="Q36" s="1">
        <v>7.4225001999999998E-10</v>
      </c>
      <c r="R36">
        <v>1.0710782999999999E-3</v>
      </c>
      <c r="S36" s="1">
        <v>3.9803064E-5</v>
      </c>
    </row>
    <row r="37" spans="1:19" x14ac:dyDescent="0.2">
      <c r="A37" t="s">
        <v>89</v>
      </c>
      <c r="B37">
        <v>3.5217000000000001</v>
      </c>
      <c r="C37" t="s">
        <v>90</v>
      </c>
      <c r="D37" s="1">
        <v>725389240</v>
      </c>
      <c r="E37">
        <v>5762.2943999999998</v>
      </c>
      <c r="F37">
        <v>0.19190309999999999</v>
      </c>
      <c r="G37">
        <v>2.1028452E-3</v>
      </c>
      <c r="H37" s="1">
        <v>1.0117393999999999E-5</v>
      </c>
      <c r="I37" s="1">
        <v>3.6384474999999999E-8</v>
      </c>
      <c r="J37" s="1">
        <v>8.6044907999999992E-6</v>
      </c>
      <c r="K37" s="1">
        <v>4.5191941000000002E-7</v>
      </c>
      <c r="L37">
        <v>2.5655829000000002E-2</v>
      </c>
      <c r="M37">
        <v>1.4600565999999999E-4</v>
      </c>
      <c r="N37">
        <v>-1.4982093000000001</v>
      </c>
      <c r="O37">
        <v>3.8203326999999999E-3</v>
      </c>
      <c r="P37" s="1">
        <v>2.0455011E-8</v>
      </c>
      <c r="Q37" s="1">
        <v>1.4489948999999999E-10</v>
      </c>
      <c r="R37">
        <v>1.4397037999999999E-3</v>
      </c>
      <c r="S37" s="1">
        <v>2.0513148E-5</v>
      </c>
    </row>
    <row r="38" spans="1:19" x14ac:dyDescent="0.2">
      <c r="A38" t="s">
        <v>91</v>
      </c>
      <c r="B38">
        <v>3.5217000000000001</v>
      </c>
      <c r="C38" t="s">
        <v>92</v>
      </c>
      <c r="D38" s="1">
        <v>725165200</v>
      </c>
      <c r="E38">
        <v>5684.8918999999996</v>
      </c>
      <c r="F38">
        <v>0.19325157000000001</v>
      </c>
      <c r="G38">
        <v>2.1035007000000001E-3</v>
      </c>
      <c r="H38" s="1">
        <v>1.0137815000000001E-5</v>
      </c>
      <c r="I38" s="1">
        <v>3.6167930999999998E-8</v>
      </c>
      <c r="J38" s="1">
        <v>8.6289180000000006E-6</v>
      </c>
      <c r="K38" s="1">
        <v>4.4834054E-7</v>
      </c>
      <c r="L38">
        <v>2.5657541999999998E-2</v>
      </c>
      <c r="M38">
        <v>1.4526949999999999E-4</v>
      </c>
      <c r="N38">
        <v>-1.4703621</v>
      </c>
      <c r="O38">
        <v>3.8022271000000001E-3</v>
      </c>
      <c r="P38" s="1">
        <v>2.051574E-8</v>
      </c>
      <c r="Q38" s="1">
        <v>1.4466610999999999E-10</v>
      </c>
      <c r="R38">
        <v>1.1982642E-3</v>
      </c>
      <c r="S38" s="1">
        <v>2.0433337000000001E-5</v>
      </c>
    </row>
    <row r="39" spans="1:19" x14ac:dyDescent="0.2">
      <c r="A39" t="s">
        <v>93</v>
      </c>
      <c r="B39">
        <v>3.5217000000000001</v>
      </c>
      <c r="C39" t="s">
        <v>94</v>
      </c>
      <c r="D39" s="1">
        <v>724989260</v>
      </c>
      <c r="E39">
        <v>6260.1041999999998</v>
      </c>
      <c r="F39">
        <v>0.19004504</v>
      </c>
      <c r="G39">
        <v>2.1717036999999999E-3</v>
      </c>
      <c r="H39" s="1">
        <v>1.0125532000000001E-5</v>
      </c>
      <c r="I39" s="1">
        <v>3.7437042999999997E-8</v>
      </c>
      <c r="J39" s="1">
        <v>7.3627734000000001E-6</v>
      </c>
      <c r="K39" s="1">
        <v>4.8523383999999996E-7</v>
      </c>
      <c r="L39">
        <v>2.6040014E-2</v>
      </c>
      <c r="M39">
        <v>1.5184983000000001E-4</v>
      </c>
      <c r="N39">
        <v>-1.4640812000000001</v>
      </c>
      <c r="O39">
        <v>3.9152452000000004E-3</v>
      </c>
      <c r="P39" s="1">
        <v>2.0241101999999998E-8</v>
      </c>
      <c r="Q39" s="1">
        <v>1.4671669999999999E-10</v>
      </c>
      <c r="R39">
        <v>1.0821318999999999E-3</v>
      </c>
      <c r="S39" s="1">
        <v>2.1148571E-5</v>
      </c>
    </row>
    <row r="40" spans="1:19" x14ac:dyDescent="0.2">
      <c r="A40" t="s">
        <v>95</v>
      </c>
      <c r="B40">
        <v>3.5217000000000001</v>
      </c>
      <c r="C40" t="s">
        <v>96</v>
      </c>
      <c r="D40" s="1">
        <v>725242770</v>
      </c>
      <c r="E40">
        <v>5626.0263999999997</v>
      </c>
      <c r="F40">
        <v>0.19239502</v>
      </c>
      <c r="G40">
        <v>2.1050829000000002E-3</v>
      </c>
      <c r="H40" s="1">
        <v>1.0103330000000001E-5</v>
      </c>
      <c r="I40" s="1">
        <v>3.6329029E-8</v>
      </c>
      <c r="J40" s="1">
        <v>8.6293212999999995E-6</v>
      </c>
      <c r="K40" s="1">
        <v>4.5118168E-7</v>
      </c>
      <c r="L40">
        <v>2.5037007E-2</v>
      </c>
      <c r="M40">
        <v>1.4521706000000001E-4</v>
      </c>
      <c r="N40">
        <v>-1.4948716</v>
      </c>
      <c r="O40">
        <v>3.8941508000000001E-3</v>
      </c>
      <c r="P40" s="1">
        <v>2.0674025999999999E-8</v>
      </c>
      <c r="Q40" s="1">
        <v>1.4948638999999999E-10</v>
      </c>
      <c r="R40">
        <v>1.0518821999999999E-3</v>
      </c>
      <c r="S40" s="1">
        <v>2.0595055999999998E-5</v>
      </c>
    </row>
    <row r="41" spans="1:19" x14ac:dyDescent="0.2">
      <c r="A41" t="s">
        <v>97</v>
      </c>
      <c r="B41">
        <v>3.5217000000000001</v>
      </c>
      <c r="C41" t="s">
        <v>98</v>
      </c>
      <c r="D41" s="1">
        <v>725109550</v>
      </c>
      <c r="E41">
        <v>5980.5779000000002</v>
      </c>
      <c r="F41">
        <v>0.19138309000000001</v>
      </c>
      <c r="G41">
        <v>2.1434293000000002E-3</v>
      </c>
      <c r="H41" s="1">
        <v>1.0100783999999999E-5</v>
      </c>
      <c r="I41" s="1">
        <v>3.7193177000000001E-8</v>
      </c>
      <c r="J41" s="1">
        <v>8.6531331000000004E-6</v>
      </c>
      <c r="K41" s="1">
        <v>4.616082E-7</v>
      </c>
      <c r="L41">
        <v>2.5339008E-2</v>
      </c>
      <c r="M41">
        <v>1.4928148999999999E-4</v>
      </c>
      <c r="N41">
        <v>-1.4687884</v>
      </c>
      <c r="O41">
        <v>3.9560786999999998E-3</v>
      </c>
      <c r="P41" s="1">
        <v>2.0429346000000002E-8</v>
      </c>
      <c r="Q41" s="1">
        <v>1.4980536000000001E-10</v>
      </c>
      <c r="R41">
        <v>9.7293463000000004E-4</v>
      </c>
      <c r="S41" s="1">
        <v>2.0980361999999999E-5</v>
      </c>
    </row>
    <row r="42" spans="1:19" x14ac:dyDescent="0.2">
      <c r="A42" t="s">
        <v>99</v>
      </c>
      <c r="B42">
        <v>3.5217000000000001</v>
      </c>
      <c r="C42" t="s">
        <v>100</v>
      </c>
      <c r="D42" s="1">
        <v>725215010</v>
      </c>
      <c r="E42">
        <v>5747.3262999999997</v>
      </c>
      <c r="F42">
        <v>0.19961851</v>
      </c>
      <c r="G42">
        <v>2.1711945000000002E-3</v>
      </c>
      <c r="H42" s="1">
        <v>1.0238919E-5</v>
      </c>
      <c r="I42" s="1">
        <v>3.6657793999999997E-8</v>
      </c>
      <c r="J42" s="1">
        <v>9.6981522999999999E-6</v>
      </c>
      <c r="K42" s="1">
        <v>4.3499041000000001E-7</v>
      </c>
      <c r="L42">
        <v>2.5219459E-2</v>
      </c>
      <c r="M42">
        <v>1.4860608E-4</v>
      </c>
      <c r="N42">
        <v>-1.4839658</v>
      </c>
      <c r="O42">
        <v>3.9559000999999996E-3</v>
      </c>
      <c r="P42" s="1">
        <v>2.0393120000000001E-8</v>
      </c>
      <c r="Q42" s="1">
        <v>1.4951760999999999E-10</v>
      </c>
      <c r="R42">
        <v>1.1958674999999999E-3</v>
      </c>
      <c r="S42" s="1">
        <v>2.0659520999999998E-5</v>
      </c>
    </row>
    <row r="43" spans="1:19" x14ac:dyDescent="0.2">
      <c r="A43" t="s">
        <v>101</v>
      </c>
      <c r="B43">
        <v>3.5217000000000001</v>
      </c>
      <c r="C43" t="s">
        <v>102</v>
      </c>
      <c r="D43" s="1">
        <v>725034610</v>
      </c>
      <c r="E43">
        <v>5659.7826999999997</v>
      </c>
      <c r="F43">
        <v>0.19451463999999999</v>
      </c>
      <c r="G43">
        <v>2.0518518000000002E-3</v>
      </c>
      <c r="H43" s="1">
        <v>1.0149380999999999E-5</v>
      </c>
      <c r="I43" s="1">
        <v>3.5087467999999999E-8</v>
      </c>
      <c r="J43" s="1">
        <v>8.7013621000000004E-6</v>
      </c>
      <c r="K43" s="1">
        <v>4.3357097000000001E-7</v>
      </c>
      <c r="L43">
        <v>2.5474291999999999E-2</v>
      </c>
      <c r="M43">
        <v>1.4296715E-4</v>
      </c>
      <c r="N43">
        <v>-1.4734217999999999</v>
      </c>
      <c r="O43">
        <v>3.7675928E-3</v>
      </c>
      <c r="P43" s="1">
        <v>2.0249209999999999E-8</v>
      </c>
      <c r="Q43" s="1">
        <v>1.4125946000000001E-10</v>
      </c>
      <c r="R43">
        <v>1.1249421999999999E-3</v>
      </c>
      <c r="S43" s="1">
        <v>1.9883877000000002E-5</v>
      </c>
    </row>
    <row r="44" spans="1:19" x14ac:dyDescent="0.2">
      <c r="A44" t="s">
        <v>103</v>
      </c>
      <c r="B44">
        <v>3.5217000000000001</v>
      </c>
      <c r="C44" t="s">
        <v>104</v>
      </c>
      <c r="D44" s="1">
        <v>725239090</v>
      </c>
      <c r="E44">
        <v>5534.3936000000003</v>
      </c>
      <c r="F44">
        <v>0.19247944</v>
      </c>
      <c r="G44">
        <v>1.9979382E-3</v>
      </c>
      <c r="H44" s="1">
        <v>1.0146955E-5</v>
      </c>
      <c r="I44" s="1">
        <v>3.4489959000000003E-8</v>
      </c>
      <c r="J44" s="1">
        <v>8.6087493999999999E-6</v>
      </c>
      <c r="K44" s="1">
        <v>4.2762840999999997E-7</v>
      </c>
      <c r="L44">
        <v>2.5033827000000002E-2</v>
      </c>
      <c r="M44">
        <v>1.3838283000000001E-4</v>
      </c>
      <c r="N44">
        <v>-1.4803763000000001</v>
      </c>
      <c r="O44">
        <v>3.7114527999999999E-3</v>
      </c>
      <c r="P44" s="1">
        <v>2.0410081999999998E-8</v>
      </c>
      <c r="Q44" s="1">
        <v>1.4040304E-10</v>
      </c>
      <c r="R44">
        <v>1.1337153000000001E-3</v>
      </c>
      <c r="S44" s="1">
        <v>1.9371407000000001E-5</v>
      </c>
    </row>
    <row r="45" spans="1:19" x14ac:dyDescent="0.2">
      <c r="A45" t="s">
        <v>105</v>
      </c>
      <c r="B45">
        <v>3.5217000000000001</v>
      </c>
      <c r="C45" t="s">
        <v>106</v>
      </c>
      <c r="D45" s="1">
        <v>725016230</v>
      </c>
      <c r="E45">
        <v>5584.5482000000002</v>
      </c>
      <c r="F45">
        <v>0.19282289</v>
      </c>
      <c r="G45">
        <v>2.0525524000000002E-3</v>
      </c>
      <c r="H45" s="1">
        <v>1.0148772E-5</v>
      </c>
      <c r="I45" s="1">
        <v>3.5476478E-8</v>
      </c>
      <c r="J45" s="1">
        <v>8.8779499000000003E-6</v>
      </c>
      <c r="K45" s="1">
        <v>4.3566718000000002E-7</v>
      </c>
      <c r="L45">
        <v>2.4941412999999999E-2</v>
      </c>
      <c r="M45">
        <v>1.419991E-4</v>
      </c>
      <c r="N45">
        <v>-1.4715757</v>
      </c>
      <c r="O45">
        <v>3.8226514E-3</v>
      </c>
      <c r="P45" s="1">
        <v>2.0433666999999999E-8</v>
      </c>
      <c r="Q45" s="1">
        <v>1.447974E-10</v>
      </c>
      <c r="R45">
        <v>1.0925055999999999E-3</v>
      </c>
      <c r="S45" s="1">
        <v>1.989352E-5</v>
      </c>
    </row>
    <row r="46" spans="1:19" x14ac:dyDescent="0.2">
      <c r="A46" t="s">
        <v>107</v>
      </c>
      <c r="B46">
        <v>3.5217000000000001</v>
      </c>
      <c r="C46" t="s">
        <v>108</v>
      </c>
      <c r="D46" s="1">
        <v>725417640</v>
      </c>
      <c r="E46">
        <v>5808.2865000000002</v>
      </c>
      <c r="F46">
        <v>0.18948218</v>
      </c>
      <c r="G46">
        <v>2.0288656000000001E-3</v>
      </c>
      <c r="H46" s="1">
        <v>1.0062395E-5</v>
      </c>
      <c r="I46" s="1">
        <v>3.5314006000000003E-8</v>
      </c>
      <c r="J46" s="1">
        <v>8.0989284999999993E-6</v>
      </c>
      <c r="K46" s="1">
        <v>4.4776097000000001E-7</v>
      </c>
      <c r="L46">
        <v>2.4661603000000001E-2</v>
      </c>
      <c r="M46">
        <v>1.3976432999999999E-4</v>
      </c>
      <c r="N46">
        <v>-1.5003203000000001</v>
      </c>
      <c r="O46">
        <v>3.8056199E-3</v>
      </c>
      <c r="P46" s="1">
        <v>2.0858571000000001E-8</v>
      </c>
      <c r="Q46" s="1">
        <v>1.4755484E-10</v>
      </c>
      <c r="R46">
        <v>1.1341894E-3</v>
      </c>
      <c r="S46" s="1">
        <v>2.0018429000000001E-5</v>
      </c>
    </row>
    <row r="47" spans="1:19" x14ac:dyDescent="0.2">
      <c r="A47" t="s">
        <v>109</v>
      </c>
      <c r="B47">
        <v>3.5217000000000001</v>
      </c>
      <c r="C47" t="s">
        <v>110</v>
      </c>
      <c r="D47" s="1">
        <v>725003030</v>
      </c>
      <c r="E47">
        <v>5812.2545</v>
      </c>
      <c r="F47">
        <v>0.19569880000000001</v>
      </c>
      <c r="G47">
        <v>2.0786530999999998E-3</v>
      </c>
      <c r="H47" s="1">
        <v>1.0134056E-5</v>
      </c>
      <c r="I47" s="1">
        <v>3.5257412999999999E-8</v>
      </c>
      <c r="J47" s="1">
        <v>8.5433242000000006E-6</v>
      </c>
      <c r="K47" s="1">
        <v>4.3846061000000001E-7</v>
      </c>
      <c r="L47">
        <v>2.5310572999999999E-2</v>
      </c>
      <c r="M47">
        <v>1.4413650000000001E-4</v>
      </c>
      <c r="N47">
        <v>-1.4727436</v>
      </c>
      <c r="O47">
        <v>3.8234782E-3</v>
      </c>
      <c r="P47" s="1">
        <v>2.0426815999999999E-8</v>
      </c>
      <c r="Q47" s="1">
        <v>1.4477637E-10</v>
      </c>
      <c r="R47">
        <v>8.9751714E-4</v>
      </c>
      <c r="S47" s="1">
        <v>2.0207483999999999E-5</v>
      </c>
    </row>
    <row r="48" spans="1:19" x14ac:dyDescent="0.2">
      <c r="A48" t="s">
        <v>111</v>
      </c>
      <c r="B48">
        <v>3.5217000000000001</v>
      </c>
      <c r="C48" t="s">
        <v>112</v>
      </c>
      <c r="D48" s="1">
        <v>725154230</v>
      </c>
      <c r="E48">
        <v>5610.0868</v>
      </c>
      <c r="F48">
        <v>0.19733577999999999</v>
      </c>
      <c r="G48">
        <v>2.1556823E-3</v>
      </c>
      <c r="H48" s="1">
        <v>1.0211626999999999E-5</v>
      </c>
      <c r="I48" s="1">
        <v>3.6644321999999997E-8</v>
      </c>
      <c r="J48" s="1">
        <v>9.3326098000000002E-6</v>
      </c>
      <c r="K48" s="1">
        <v>4.4123541000000002E-7</v>
      </c>
      <c r="L48">
        <v>2.5058550999999998E-2</v>
      </c>
      <c r="M48">
        <v>1.4623958999999999E-4</v>
      </c>
      <c r="N48">
        <v>-1.4844458</v>
      </c>
      <c r="O48">
        <v>3.9187357999999999E-3</v>
      </c>
      <c r="P48" s="1">
        <v>2.0721323000000001E-8</v>
      </c>
      <c r="Q48" s="1">
        <v>1.5080736999999999E-10</v>
      </c>
      <c r="R48">
        <v>9.4530660000000002E-4</v>
      </c>
      <c r="S48" s="1">
        <v>2.0626923E-5</v>
      </c>
    </row>
    <row r="49" spans="1:19" x14ac:dyDescent="0.2">
      <c r="A49" t="s">
        <v>113</v>
      </c>
      <c r="B49">
        <v>3.5217000000000001</v>
      </c>
      <c r="C49" t="s">
        <v>114</v>
      </c>
      <c r="D49" s="1">
        <v>725081800</v>
      </c>
      <c r="E49">
        <v>5766.5433000000003</v>
      </c>
      <c r="F49">
        <v>0.19803855000000001</v>
      </c>
      <c r="G49">
        <v>2.186164E-3</v>
      </c>
      <c r="H49" s="1">
        <v>1.0172539E-5</v>
      </c>
      <c r="I49" s="1">
        <v>3.6482093000000002E-8</v>
      </c>
      <c r="J49" s="1">
        <v>8.9640042000000001E-6</v>
      </c>
      <c r="K49" s="1">
        <v>4.5233046E-7</v>
      </c>
      <c r="L49">
        <v>2.5281544E-2</v>
      </c>
      <c r="M49">
        <v>1.4923694999999999E-4</v>
      </c>
      <c r="N49">
        <v>-1.9317610999999999</v>
      </c>
      <c r="O49">
        <v>3.9529969000000002E-3</v>
      </c>
      <c r="P49" s="1">
        <v>2.0391585000000002E-8</v>
      </c>
      <c r="Q49" s="1">
        <v>1.4908039999999999E-10</v>
      </c>
      <c r="R49">
        <v>1.2948648E-3</v>
      </c>
      <c r="S49" s="1">
        <v>2.0702518999999999E-5</v>
      </c>
    </row>
    <row r="50" spans="1:19" x14ac:dyDescent="0.2">
      <c r="A50" t="s">
        <v>115</v>
      </c>
      <c r="B50">
        <v>3.5217000000000001</v>
      </c>
      <c r="C50" t="s">
        <v>116</v>
      </c>
      <c r="D50" s="1">
        <v>725113160</v>
      </c>
      <c r="E50">
        <v>5588.1410999999998</v>
      </c>
      <c r="F50">
        <v>0.20009263999999999</v>
      </c>
      <c r="G50">
        <v>2.1004503999999999E-3</v>
      </c>
      <c r="H50" s="1">
        <v>1.0167312E-5</v>
      </c>
      <c r="I50" s="1">
        <v>3.5225834999999998E-8</v>
      </c>
      <c r="J50" s="1">
        <v>9.4575860000000008E-6</v>
      </c>
      <c r="K50" s="1">
        <v>4.2334042000000002E-7</v>
      </c>
      <c r="L50">
        <v>2.5271755E-2</v>
      </c>
      <c r="M50">
        <v>1.4555034000000001E-4</v>
      </c>
      <c r="N50">
        <v>-1.4642919000000001</v>
      </c>
      <c r="O50">
        <v>3.8674226999999999E-3</v>
      </c>
      <c r="P50" s="1">
        <v>2.0323399000000001E-8</v>
      </c>
      <c r="Q50" s="1">
        <v>1.4558400000000001E-10</v>
      </c>
      <c r="R50">
        <v>1.1431118000000001E-3</v>
      </c>
      <c r="S50" s="1">
        <v>2.0280131000000001E-5</v>
      </c>
    </row>
    <row r="51" spans="1:19" x14ac:dyDescent="0.2">
      <c r="A51" t="s">
        <v>117</v>
      </c>
      <c r="B51">
        <v>3.5217000000000001</v>
      </c>
      <c r="C51" t="s">
        <v>118</v>
      </c>
      <c r="D51" s="1">
        <v>725179910</v>
      </c>
      <c r="E51">
        <v>5694.7696999999998</v>
      </c>
      <c r="F51">
        <v>0.19385213000000001</v>
      </c>
      <c r="G51">
        <v>2.1148943000000001E-3</v>
      </c>
      <c r="H51" s="1">
        <v>1.0160311E-5</v>
      </c>
      <c r="I51" s="1">
        <v>3.6488042000000002E-8</v>
      </c>
      <c r="J51" s="1">
        <v>9.1711948999999992E-6</v>
      </c>
      <c r="K51" s="1">
        <v>4.4317220999999999E-7</v>
      </c>
      <c r="L51">
        <v>2.5096331999999999E-2</v>
      </c>
      <c r="M51">
        <v>1.4534929E-4</v>
      </c>
      <c r="N51">
        <v>-1.4682291999999999</v>
      </c>
      <c r="O51">
        <v>3.8896884999999998E-3</v>
      </c>
      <c r="P51" s="1">
        <v>2.0560759000000001E-8</v>
      </c>
      <c r="Q51" s="1">
        <v>1.4835598E-10</v>
      </c>
      <c r="R51">
        <v>1.1176153000000001E-3</v>
      </c>
      <c r="S51" s="1">
        <v>2.0449440000000001E-5</v>
      </c>
    </row>
    <row r="52" spans="1:19" x14ac:dyDescent="0.2">
      <c r="A52" t="s">
        <v>119</v>
      </c>
      <c r="B52">
        <v>3.5217000000000001</v>
      </c>
      <c r="C52" t="s">
        <v>120</v>
      </c>
      <c r="D52" s="1">
        <v>725269150</v>
      </c>
      <c r="E52">
        <v>5898.5442000000003</v>
      </c>
      <c r="F52">
        <v>0.1939265</v>
      </c>
      <c r="G52">
        <v>2.1300200999999999E-3</v>
      </c>
      <c r="H52" s="1">
        <v>1.0167766999999999E-5</v>
      </c>
      <c r="I52" s="1">
        <v>3.7012303999999998E-8</v>
      </c>
      <c r="J52" s="1">
        <v>9.8332886999999996E-6</v>
      </c>
      <c r="K52" s="1">
        <v>4.3885622E-7</v>
      </c>
      <c r="L52">
        <v>2.4835363999999999E-2</v>
      </c>
      <c r="M52">
        <v>1.5003788999999999E-4</v>
      </c>
      <c r="N52">
        <v>-1.4826736</v>
      </c>
      <c r="O52">
        <v>4.0545494000000003E-3</v>
      </c>
      <c r="P52" s="1">
        <v>1.9912072E-8</v>
      </c>
      <c r="Q52" s="1">
        <v>1.4915802999999999E-10</v>
      </c>
      <c r="R52">
        <v>1.0122623E-3</v>
      </c>
      <c r="S52" s="1">
        <v>2.0563016999999999E-5</v>
      </c>
    </row>
    <row r="53" spans="1:19" x14ac:dyDescent="0.2">
      <c r="A53" t="s">
        <v>121</v>
      </c>
      <c r="B53">
        <v>3.5217000000000001</v>
      </c>
      <c r="C53" t="s">
        <v>122</v>
      </c>
      <c r="D53" s="1">
        <v>725321180</v>
      </c>
      <c r="E53">
        <v>5551.9363999999996</v>
      </c>
      <c r="F53">
        <v>0.19134478999999999</v>
      </c>
      <c r="G53">
        <v>2.0959086999999999E-3</v>
      </c>
      <c r="H53" s="1">
        <v>1.0089210000000001E-5</v>
      </c>
      <c r="I53" s="1">
        <v>3.6314782999999998E-8</v>
      </c>
      <c r="J53" s="1">
        <v>8.5228314000000004E-6</v>
      </c>
      <c r="K53" s="1">
        <v>4.5305111E-7</v>
      </c>
      <c r="L53">
        <v>2.5359953000000001E-2</v>
      </c>
      <c r="M53">
        <v>1.4582134E-4</v>
      </c>
      <c r="N53">
        <v>-1.4928718999999999</v>
      </c>
      <c r="O53">
        <v>3.8603592999999999E-3</v>
      </c>
      <c r="P53" s="1">
        <v>2.0501594E-8</v>
      </c>
      <c r="Q53" s="1">
        <v>1.4678938999999999E-10</v>
      </c>
      <c r="R53">
        <v>1.1689612999999999E-3</v>
      </c>
      <c r="S53" s="1">
        <v>2.0564720000000001E-5</v>
      </c>
    </row>
    <row r="54" spans="1:19" x14ac:dyDescent="0.2">
      <c r="A54" t="s">
        <v>123</v>
      </c>
      <c r="B54">
        <v>3.5217000000000001</v>
      </c>
      <c r="C54" t="s">
        <v>124</v>
      </c>
      <c r="D54" s="1">
        <v>725185360</v>
      </c>
      <c r="E54">
        <v>5681.8328000000001</v>
      </c>
      <c r="F54">
        <v>0.19277329000000001</v>
      </c>
      <c r="G54">
        <v>2.0621601E-3</v>
      </c>
      <c r="H54" s="1">
        <v>1.0082743E-5</v>
      </c>
      <c r="I54" s="1">
        <v>3.5352333999999998E-8</v>
      </c>
      <c r="J54" s="1">
        <v>8.2474985999999994E-6</v>
      </c>
      <c r="K54" s="1">
        <v>4.4547313E-7</v>
      </c>
      <c r="L54">
        <v>2.5298277000000001E-2</v>
      </c>
      <c r="M54">
        <v>1.4525266999999999E-4</v>
      </c>
      <c r="N54">
        <v>-1.4691272</v>
      </c>
      <c r="O54">
        <v>3.8550212999999998E-3</v>
      </c>
      <c r="P54" s="1">
        <v>2.0203415999999999E-8</v>
      </c>
      <c r="Q54" s="1">
        <v>1.4415214000000001E-10</v>
      </c>
      <c r="R54">
        <v>9.6183724999999998E-4</v>
      </c>
      <c r="S54" s="1">
        <v>2.0259712000000001E-5</v>
      </c>
    </row>
    <row r="55" spans="1:19" x14ac:dyDescent="0.2">
      <c r="A55" t="s">
        <v>125</v>
      </c>
      <c r="B55">
        <v>3.5217000000000001</v>
      </c>
      <c r="C55" t="s">
        <v>126</v>
      </c>
      <c r="D55" s="1">
        <v>725398050</v>
      </c>
      <c r="E55">
        <v>5823.7112999999999</v>
      </c>
      <c r="F55">
        <v>0.19124711999999999</v>
      </c>
      <c r="G55">
        <v>2.1101566E-3</v>
      </c>
      <c r="H55" s="1">
        <v>1.0135669E-5</v>
      </c>
      <c r="I55" s="1">
        <v>3.6415922000000002E-8</v>
      </c>
      <c r="J55" s="1">
        <v>8.0182402999999998E-6</v>
      </c>
      <c r="K55" s="1">
        <v>4.6118674999999998E-7</v>
      </c>
      <c r="L55">
        <v>2.4699651E-2</v>
      </c>
      <c r="M55">
        <v>1.4561861999999999E-4</v>
      </c>
      <c r="N55">
        <v>-1.4947543000000001</v>
      </c>
      <c r="O55">
        <v>3.9582282000000003E-3</v>
      </c>
      <c r="P55" s="1">
        <v>2.0547471E-8</v>
      </c>
      <c r="Q55" s="1">
        <v>1.5088947999999999E-10</v>
      </c>
      <c r="R55">
        <v>1.1970469999999999E-3</v>
      </c>
      <c r="S55" s="1">
        <v>2.0507366999999999E-5</v>
      </c>
    </row>
    <row r="56" spans="1:19" x14ac:dyDescent="0.2">
      <c r="A56" t="s">
        <v>127</v>
      </c>
      <c r="B56">
        <v>3.5217000000000001</v>
      </c>
      <c r="C56" t="s">
        <v>128</v>
      </c>
      <c r="D56" s="1">
        <v>725330860</v>
      </c>
      <c r="E56">
        <v>6037.8630000000003</v>
      </c>
      <c r="F56">
        <v>0.19510093000000001</v>
      </c>
      <c r="G56">
        <v>2.1549763E-3</v>
      </c>
      <c r="H56" s="1">
        <v>1.0145398000000001E-5</v>
      </c>
      <c r="I56" s="1">
        <v>3.7012042999999998E-8</v>
      </c>
      <c r="J56" s="1">
        <v>9.3749548999999995E-6</v>
      </c>
      <c r="K56" s="1">
        <v>4.46677E-7</v>
      </c>
      <c r="L56">
        <v>2.5117543999999999E-2</v>
      </c>
      <c r="M56">
        <v>1.5122287E-4</v>
      </c>
      <c r="N56">
        <v>-1.4906273999999999</v>
      </c>
      <c r="O56">
        <v>4.040826E-3</v>
      </c>
      <c r="P56" s="1">
        <v>2.0085028E-8</v>
      </c>
      <c r="Q56" s="1">
        <v>1.501253E-10</v>
      </c>
      <c r="R56">
        <v>1.1192608E-3</v>
      </c>
      <c r="S56" s="1">
        <v>2.0900078999999999E-5</v>
      </c>
    </row>
    <row r="57" spans="1:19" x14ac:dyDescent="0.2">
      <c r="A57" t="s">
        <v>129</v>
      </c>
      <c r="B57">
        <v>3.5217000000000001</v>
      </c>
      <c r="C57" t="s">
        <v>130</v>
      </c>
      <c r="D57" s="1">
        <v>725221960</v>
      </c>
      <c r="E57">
        <v>5704.2154</v>
      </c>
      <c r="F57">
        <v>0.18926559000000001</v>
      </c>
      <c r="G57">
        <v>2.0475576E-3</v>
      </c>
      <c r="H57" s="1">
        <v>1.0092651999999999E-5</v>
      </c>
      <c r="I57" s="1">
        <v>3.5786883000000001E-8</v>
      </c>
      <c r="J57" s="1">
        <v>8.3130906000000007E-6</v>
      </c>
      <c r="K57" s="1">
        <v>4.4966200000000002E-7</v>
      </c>
      <c r="L57">
        <v>2.5041961000000001E-2</v>
      </c>
      <c r="M57">
        <v>1.4220781999999999E-4</v>
      </c>
      <c r="N57">
        <v>-1.4762892999999999</v>
      </c>
      <c r="O57">
        <v>3.8134102999999998E-3</v>
      </c>
      <c r="P57" s="1">
        <v>2.0531115000000001E-8</v>
      </c>
      <c r="Q57" s="1">
        <v>1.4521998E-10</v>
      </c>
      <c r="R57">
        <v>1.2327429000000001E-3</v>
      </c>
      <c r="S57" s="1">
        <v>2.0075892E-5</v>
      </c>
    </row>
    <row r="58" spans="1:19" x14ac:dyDescent="0.2">
      <c r="A58" t="s">
        <v>131</v>
      </c>
      <c r="B58">
        <v>3.5217000000000001</v>
      </c>
      <c r="C58" t="s">
        <v>132</v>
      </c>
      <c r="D58" s="1">
        <v>725074360</v>
      </c>
      <c r="E58">
        <v>5863.0983999999999</v>
      </c>
      <c r="F58">
        <v>0.18628275</v>
      </c>
      <c r="G58">
        <v>2.0542959000000001E-3</v>
      </c>
      <c r="H58" s="1">
        <v>1.0007757999999999E-5</v>
      </c>
      <c r="I58" s="1">
        <v>3.5862681000000002E-8</v>
      </c>
      <c r="J58" s="1">
        <v>6.9137799000000001E-6</v>
      </c>
      <c r="K58" s="1">
        <v>4.7496225000000002E-7</v>
      </c>
      <c r="L58">
        <v>2.4835577000000001E-2</v>
      </c>
      <c r="M58">
        <v>1.4560867000000001E-4</v>
      </c>
      <c r="N58">
        <v>-1.4668737000000001</v>
      </c>
      <c r="O58">
        <v>3.9366942000000002E-3</v>
      </c>
      <c r="P58" s="1">
        <v>2.0307413E-8</v>
      </c>
      <c r="Q58" s="1">
        <v>1.4806545000000001E-10</v>
      </c>
      <c r="R58">
        <v>1.1938210000000001E-3</v>
      </c>
      <c r="S58" s="1">
        <v>2.0499248999999999E-5</v>
      </c>
    </row>
    <row r="59" spans="1:19" x14ac:dyDescent="0.2">
      <c r="A59" t="s">
        <v>133</v>
      </c>
      <c r="B59">
        <v>3.5217000000000001</v>
      </c>
      <c r="C59" t="s">
        <v>134</v>
      </c>
      <c r="D59" s="1">
        <v>725608920</v>
      </c>
      <c r="E59">
        <v>5672.1176999999998</v>
      </c>
      <c r="F59">
        <v>0.18976803</v>
      </c>
      <c r="G59">
        <v>2.0225197999999998E-3</v>
      </c>
      <c r="H59" s="1">
        <v>1.0101762999999999E-5</v>
      </c>
      <c r="I59" s="1">
        <v>3.5719578000000003E-8</v>
      </c>
      <c r="J59" s="1">
        <v>9.4775017999999992E-6</v>
      </c>
      <c r="K59" s="1">
        <v>4.3054676999999998E-7</v>
      </c>
      <c r="L59">
        <v>2.4080509999999999E-2</v>
      </c>
      <c r="M59">
        <v>1.3973197000000001E-4</v>
      </c>
      <c r="N59">
        <v>-1.5027271</v>
      </c>
      <c r="O59">
        <v>3.8961651000000001E-3</v>
      </c>
      <c r="P59" s="1">
        <v>2.0638701000000001E-8</v>
      </c>
      <c r="Q59" s="1">
        <v>1.4926714E-10</v>
      </c>
      <c r="R59">
        <v>1.0451792000000001E-3</v>
      </c>
      <c r="S59" s="1">
        <v>1.9793594999999999E-5</v>
      </c>
    </row>
    <row r="60" spans="1:19" x14ac:dyDescent="0.2">
      <c r="A60" t="s">
        <v>135</v>
      </c>
      <c r="B60">
        <v>3.5217000000000001</v>
      </c>
      <c r="C60" t="s">
        <v>136</v>
      </c>
      <c r="D60" s="1">
        <v>725393910</v>
      </c>
      <c r="E60">
        <v>5976.8635999999997</v>
      </c>
      <c r="F60">
        <v>0.18737461999999999</v>
      </c>
      <c r="G60">
        <v>2.0461651E-3</v>
      </c>
      <c r="H60" s="1">
        <v>1.0029239E-5</v>
      </c>
      <c r="I60" s="1">
        <v>3.5799768999999999E-8</v>
      </c>
      <c r="J60" s="1">
        <v>7.6157749E-6</v>
      </c>
      <c r="K60" s="1">
        <v>4.6239456000000002E-7</v>
      </c>
      <c r="L60">
        <v>2.5070354E-2</v>
      </c>
      <c r="M60">
        <v>1.4435686E-4</v>
      </c>
      <c r="N60">
        <v>-1.4972681999999999</v>
      </c>
      <c r="O60">
        <v>3.8652246999999998E-3</v>
      </c>
      <c r="P60" s="1">
        <v>2.0356206E-8</v>
      </c>
      <c r="Q60" s="1">
        <v>1.4580091999999999E-10</v>
      </c>
      <c r="R60">
        <v>1.2560207999999999E-3</v>
      </c>
      <c r="S60" s="1">
        <v>2.0327444000000002E-5</v>
      </c>
    </row>
    <row r="61" spans="1:19" x14ac:dyDescent="0.2">
      <c r="A61" t="s">
        <v>137</v>
      </c>
      <c r="B61">
        <v>3.5217000000000001</v>
      </c>
      <c r="C61" t="s">
        <v>138</v>
      </c>
      <c r="D61" s="1">
        <v>725405650</v>
      </c>
      <c r="E61">
        <v>5930.2329</v>
      </c>
      <c r="F61">
        <v>0.19378803</v>
      </c>
      <c r="G61">
        <v>2.0581372999999999E-3</v>
      </c>
      <c r="H61" s="1">
        <v>1.0109346000000001E-5</v>
      </c>
      <c r="I61" s="1">
        <v>3.5325777999999997E-8</v>
      </c>
      <c r="J61" s="1">
        <v>8.7791866000000003E-6</v>
      </c>
      <c r="K61" s="1">
        <v>4.3628742999999999E-7</v>
      </c>
      <c r="L61">
        <v>2.5234795000000001E-2</v>
      </c>
      <c r="M61">
        <v>1.4343555E-4</v>
      </c>
      <c r="N61">
        <v>-1.4828243000000001</v>
      </c>
      <c r="O61">
        <v>3.816519E-3</v>
      </c>
      <c r="P61" s="1">
        <v>2.0383050000000001E-8</v>
      </c>
      <c r="Q61" s="1">
        <v>1.4415588E-10</v>
      </c>
      <c r="R61">
        <v>1.2958374999999999E-3</v>
      </c>
      <c r="S61" s="1">
        <v>2.0109959999999999E-5</v>
      </c>
    </row>
    <row r="62" spans="1:19" x14ac:dyDescent="0.2">
      <c r="A62" t="s">
        <v>139</v>
      </c>
      <c r="B62">
        <v>3.5217000000000001</v>
      </c>
      <c r="C62" t="s">
        <v>140</v>
      </c>
      <c r="D62" s="1">
        <v>725551920</v>
      </c>
      <c r="E62">
        <v>5818.8918000000003</v>
      </c>
      <c r="F62">
        <v>0.19042292999999999</v>
      </c>
      <c r="G62">
        <v>2.0927196E-3</v>
      </c>
      <c r="H62" s="1">
        <v>1.0129885E-5</v>
      </c>
      <c r="I62" s="1">
        <v>3.6722655000000003E-8</v>
      </c>
      <c r="J62" s="1">
        <v>9.1537146999999997E-6</v>
      </c>
      <c r="K62" s="1">
        <v>4.4706998000000003E-7</v>
      </c>
      <c r="L62">
        <v>2.4475211E-2</v>
      </c>
      <c r="M62">
        <v>1.4607595000000001E-4</v>
      </c>
      <c r="N62">
        <v>-1.4873263999999999</v>
      </c>
      <c r="O62">
        <v>4.0071079000000001E-3</v>
      </c>
      <c r="P62" s="1">
        <v>2.0270279999999999E-8</v>
      </c>
      <c r="Q62" s="1">
        <v>1.5040780999999999E-10</v>
      </c>
      <c r="R62">
        <v>1.1545321E-3</v>
      </c>
      <c r="S62" s="1">
        <v>2.0361345000000001E-5</v>
      </c>
    </row>
    <row r="63" spans="1:19" x14ac:dyDescent="0.2">
      <c r="A63" t="s">
        <v>141</v>
      </c>
      <c r="B63">
        <v>3.5217000000000001</v>
      </c>
      <c r="C63" t="s">
        <v>142</v>
      </c>
      <c r="D63" s="1">
        <v>725195570</v>
      </c>
      <c r="E63">
        <v>5872.366</v>
      </c>
      <c r="F63">
        <v>0.20166872</v>
      </c>
      <c r="G63">
        <v>2.0692885E-3</v>
      </c>
      <c r="H63" s="1">
        <v>1.0213727000000001E-5</v>
      </c>
      <c r="I63" s="1">
        <v>3.4805061000000003E-8</v>
      </c>
      <c r="J63" s="1">
        <v>1.0323832E-5</v>
      </c>
      <c r="K63" s="1">
        <v>4.0434890000000002E-7</v>
      </c>
      <c r="L63">
        <v>2.5062319E-2</v>
      </c>
      <c r="M63">
        <v>1.4388528E-4</v>
      </c>
      <c r="N63">
        <v>-1.4573183000000001</v>
      </c>
      <c r="O63">
        <v>3.8550566000000001E-3</v>
      </c>
      <c r="P63" s="1">
        <v>2.0071997999999999E-8</v>
      </c>
      <c r="Q63" s="1">
        <v>1.4307437000000001E-10</v>
      </c>
      <c r="R63">
        <v>1.2685791E-3</v>
      </c>
      <c r="S63" s="1">
        <v>1.9790021999999999E-5</v>
      </c>
    </row>
    <row r="64" spans="1:19" x14ac:dyDescent="0.2">
      <c r="A64" t="s">
        <v>143</v>
      </c>
      <c r="B64">
        <v>3.5217000000000001</v>
      </c>
      <c r="C64" t="s">
        <v>144</v>
      </c>
      <c r="D64" s="1">
        <v>725389500</v>
      </c>
      <c r="E64">
        <v>5672.2888000000003</v>
      </c>
      <c r="F64">
        <v>0.19532933999999999</v>
      </c>
      <c r="G64">
        <v>2.0715708999999999E-3</v>
      </c>
      <c r="H64" s="1">
        <v>1.0114661E-5</v>
      </c>
      <c r="I64" s="1">
        <v>3.5479084000000003E-8</v>
      </c>
      <c r="J64" s="1">
        <v>9.2870243999999998E-6</v>
      </c>
      <c r="K64" s="1">
        <v>4.3025137000000002E-7</v>
      </c>
      <c r="L64">
        <v>2.5121995000000001E-2</v>
      </c>
      <c r="M64">
        <v>1.4317299000000001E-4</v>
      </c>
      <c r="N64">
        <v>-1.4719291999999999</v>
      </c>
      <c r="O64">
        <v>3.8278820999999999E-3</v>
      </c>
      <c r="P64" s="1">
        <v>2.0576601999999998E-8</v>
      </c>
      <c r="Q64" s="1">
        <v>1.4611878999999999E-10</v>
      </c>
      <c r="R64">
        <v>1.0929633000000001E-3</v>
      </c>
      <c r="S64" s="1">
        <v>2.0219317000000001E-5</v>
      </c>
    </row>
    <row r="65" spans="1:19" x14ac:dyDescent="0.2">
      <c r="A65" t="s">
        <v>145</v>
      </c>
      <c r="B65">
        <v>3.5217000000000001</v>
      </c>
      <c r="C65" t="s">
        <v>146</v>
      </c>
      <c r="D65" s="1">
        <v>725511810</v>
      </c>
      <c r="E65">
        <v>6005.2039999999997</v>
      </c>
      <c r="F65">
        <v>0.19663115</v>
      </c>
      <c r="G65">
        <v>2.1252672999999998E-3</v>
      </c>
      <c r="H65" s="1">
        <v>1.0178942E-5</v>
      </c>
      <c r="I65" s="1">
        <v>3.6129546999999998E-8</v>
      </c>
      <c r="J65" s="1">
        <v>9.0851841000000002E-6</v>
      </c>
      <c r="K65" s="1">
        <v>4.3970057E-7</v>
      </c>
      <c r="L65">
        <v>2.4643992E-2</v>
      </c>
      <c r="M65">
        <v>1.4602806000000001E-4</v>
      </c>
      <c r="N65">
        <v>-1.4866865</v>
      </c>
      <c r="O65">
        <v>3.9789802000000001E-3</v>
      </c>
      <c r="P65" s="1">
        <v>2.0502379999999999E-8</v>
      </c>
      <c r="Q65" s="1">
        <v>1.5128596E-10</v>
      </c>
      <c r="R65">
        <v>1.1510875E-3</v>
      </c>
      <c r="S65" s="1">
        <v>2.0471509E-5</v>
      </c>
    </row>
    <row r="66" spans="1:19" x14ac:dyDescent="0.2">
      <c r="A66" t="s">
        <v>147</v>
      </c>
      <c r="B66">
        <v>3.5217000000000001</v>
      </c>
      <c r="C66" t="s">
        <v>148</v>
      </c>
      <c r="D66" s="1">
        <v>725324640</v>
      </c>
      <c r="E66">
        <v>5896.7272000000003</v>
      </c>
      <c r="F66">
        <v>0.19560006999999999</v>
      </c>
      <c r="G66">
        <v>2.0614526999999999E-3</v>
      </c>
      <c r="H66" s="1">
        <v>1.0214372E-5</v>
      </c>
      <c r="I66" s="1">
        <v>3.5383420000000001E-8</v>
      </c>
      <c r="J66" s="1">
        <v>9.4080815999999999E-6</v>
      </c>
      <c r="K66" s="1">
        <v>4.2487502000000002E-7</v>
      </c>
      <c r="L66">
        <v>2.5019692999999999E-2</v>
      </c>
      <c r="M66">
        <v>1.4394049E-4</v>
      </c>
      <c r="N66">
        <v>-1.4505604999999999</v>
      </c>
      <c r="O66">
        <v>3.8636091000000001E-3</v>
      </c>
      <c r="P66" s="1">
        <v>1.9961697E-8</v>
      </c>
      <c r="Q66" s="1">
        <v>1.4248069000000001E-10</v>
      </c>
      <c r="R66">
        <v>1.5062817E-3</v>
      </c>
      <c r="S66" s="1">
        <v>1.9712117E-5</v>
      </c>
    </row>
    <row r="67" spans="1:19" x14ac:dyDescent="0.2">
      <c r="A67" t="s">
        <v>149</v>
      </c>
      <c r="B67">
        <v>3.5217000000000001</v>
      </c>
      <c r="C67" t="s">
        <v>150</v>
      </c>
      <c r="D67" s="1">
        <v>725281440</v>
      </c>
      <c r="E67">
        <v>5727.3705</v>
      </c>
      <c r="F67">
        <v>0.19476867</v>
      </c>
      <c r="G67">
        <v>1.980033E-3</v>
      </c>
      <c r="H67" s="1">
        <v>1.0178059E-5</v>
      </c>
      <c r="I67" s="1">
        <v>3.4025060000000001E-8</v>
      </c>
      <c r="J67" s="1">
        <v>9.2036353E-6</v>
      </c>
      <c r="K67" s="1">
        <v>4.1239565000000001E-7</v>
      </c>
      <c r="L67">
        <v>2.4901045E-2</v>
      </c>
      <c r="M67">
        <v>1.3917804E-4</v>
      </c>
      <c r="N67">
        <v>-1.4558694999999999</v>
      </c>
      <c r="O67">
        <v>3.7530059000000001E-3</v>
      </c>
      <c r="P67" s="1">
        <v>1.9921867999999999E-8</v>
      </c>
      <c r="Q67" s="1">
        <v>1.3809981E-10</v>
      </c>
      <c r="R67">
        <v>1.0872307E-3</v>
      </c>
      <c r="S67" s="1">
        <v>1.9074473000000001E-5</v>
      </c>
    </row>
    <row r="68" spans="1:19" x14ac:dyDescent="0.2">
      <c r="A68" t="s">
        <v>151</v>
      </c>
      <c r="B68">
        <v>3.5217000000000001</v>
      </c>
      <c r="C68" t="s">
        <v>152</v>
      </c>
      <c r="D68" s="1">
        <v>725260920</v>
      </c>
      <c r="E68">
        <v>5888.0038999999997</v>
      </c>
      <c r="F68">
        <v>0.19814412000000001</v>
      </c>
      <c r="G68">
        <v>2.0708183E-3</v>
      </c>
      <c r="H68" s="1">
        <v>1.0239771E-5</v>
      </c>
      <c r="I68" s="1">
        <v>3.5453420000000001E-8</v>
      </c>
      <c r="J68" s="1">
        <v>1.0277242E-5</v>
      </c>
      <c r="K68" s="1">
        <v>4.1196130999999998E-7</v>
      </c>
      <c r="L68">
        <v>2.4648568999999999E-2</v>
      </c>
      <c r="M68">
        <v>1.4373715999999999E-4</v>
      </c>
      <c r="N68">
        <v>-1.4703552</v>
      </c>
      <c r="O68">
        <v>3.9148498999999996E-3</v>
      </c>
      <c r="P68" s="1">
        <v>2.0030022999999999E-8</v>
      </c>
      <c r="Q68" s="1">
        <v>1.4496695999999999E-10</v>
      </c>
      <c r="R68">
        <v>1.3713687E-3</v>
      </c>
      <c r="S68" s="1">
        <v>1.9700022000000001E-5</v>
      </c>
    </row>
    <row r="69" spans="1:19" x14ac:dyDescent="0.2">
      <c r="A69" t="s">
        <v>153</v>
      </c>
      <c r="B69">
        <v>3.5217000000000001</v>
      </c>
      <c r="C69" t="s">
        <v>154</v>
      </c>
      <c r="D69" s="1">
        <v>725245780</v>
      </c>
      <c r="E69">
        <v>6120.8379000000004</v>
      </c>
      <c r="F69">
        <v>0.18792296</v>
      </c>
      <c r="G69">
        <v>2.1614328999999999E-3</v>
      </c>
      <c r="H69" s="1">
        <v>1.0007525E-5</v>
      </c>
      <c r="I69" s="1">
        <v>3.7336964000000001E-8</v>
      </c>
      <c r="J69" s="1">
        <v>6.7492614999999996E-6</v>
      </c>
      <c r="K69" s="1">
        <v>4.9725507999999999E-7</v>
      </c>
      <c r="L69">
        <v>2.5883064000000001E-2</v>
      </c>
      <c r="M69">
        <v>1.5460397000000001E-4</v>
      </c>
      <c r="N69">
        <v>-1.4727667</v>
      </c>
      <c r="O69">
        <v>4.0100632000000004E-3</v>
      </c>
      <c r="P69" s="1">
        <v>2.0077270999999999E-8</v>
      </c>
      <c r="Q69" s="1">
        <v>1.4889277999999999E-10</v>
      </c>
      <c r="R69">
        <v>1.2975994999999999E-3</v>
      </c>
      <c r="S69" s="1">
        <v>2.1568882E-5</v>
      </c>
    </row>
    <row r="70" spans="1:19" x14ac:dyDescent="0.2">
      <c r="A70" t="s">
        <v>155</v>
      </c>
      <c r="B70">
        <v>3.5217000000000001</v>
      </c>
      <c r="C70" t="s">
        <v>156</v>
      </c>
      <c r="D70" s="1">
        <v>725573050</v>
      </c>
      <c r="E70">
        <v>5844.1702999999998</v>
      </c>
      <c r="F70">
        <v>0.19794226000000001</v>
      </c>
      <c r="G70">
        <v>2.1006085000000001E-3</v>
      </c>
      <c r="H70" s="1">
        <v>1.0138841000000001E-5</v>
      </c>
      <c r="I70" s="1">
        <v>3.5746927999999999E-8</v>
      </c>
      <c r="J70" s="1">
        <v>9.8558447999999996E-6</v>
      </c>
      <c r="K70" s="1">
        <v>4.2419008000000001E-7</v>
      </c>
      <c r="L70">
        <v>2.4621068999999999E-2</v>
      </c>
      <c r="M70">
        <v>1.4550024E-4</v>
      </c>
      <c r="N70">
        <v>-1.4911551000000001</v>
      </c>
      <c r="O70">
        <v>3.9679674000000003E-3</v>
      </c>
      <c r="P70" s="1">
        <v>2.0437193999999999E-8</v>
      </c>
      <c r="Q70" s="1">
        <v>1.5032941999999999E-10</v>
      </c>
      <c r="R70">
        <v>9.8471498999999998E-4</v>
      </c>
      <c r="S70" s="1">
        <v>2.0400917E-5</v>
      </c>
    </row>
    <row r="71" spans="1:19" x14ac:dyDescent="0.2">
      <c r="A71" t="s">
        <v>157</v>
      </c>
      <c r="B71">
        <v>3.5217000000000001</v>
      </c>
      <c r="C71" t="s">
        <v>158</v>
      </c>
      <c r="D71" s="1">
        <v>725538260</v>
      </c>
      <c r="E71">
        <v>5694.3096999999998</v>
      </c>
      <c r="F71">
        <v>0.19508830999999999</v>
      </c>
      <c r="G71">
        <v>2.0676088000000001E-3</v>
      </c>
      <c r="H71" s="1">
        <v>1.0086847E-5</v>
      </c>
      <c r="I71" s="1">
        <v>3.5452276999999998E-8</v>
      </c>
      <c r="J71" s="1">
        <v>9.3387252000000008E-6</v>
      </c>
      <c r="K71" s="1">
        <v>4.2982115000000001E-7</v>
      </c>
      <c r="L71">
        <v>2.504054E-2</v>
      </c>
      <c r="M71">
        <v>1.4467924999999999E-4</v>
      </c>
      <c r="N71">
        <v>-1.4678283000000001</v>
      </c>
      <c r="O71">
        <v>3.8807605000000002E-3</v>
      </c>
      <c r="P71" s="1">
        <v>2.0352970000000001E-8</v>
      </c>
      <c r="Q71" s="1">
        <v>1.4630586999999999E-10</v>
      </c>
      <c r="R71">
        <v>8.7995873000000003E-4</v>
      </c>
      <c r="S71" s="1">
        <v>2.029619E-5</v>
      </c>
    </row>
    <row r="72" spans="1:19" x14ac:dyDescent="0.2">
      <c r="A72" t="s">
        <v>159</v>
      </c>
      <c r="B72">
        <v>3.5217000000000001</v>
      </c>
      <c r="C72" t="s">
        <v>160</v>
      </c>
      <c r="D72" s="1">
        <v>725657030</v>
      </c>
      <c r="E72">
        <v>5474.3697000000002</v>
      </c>
      <c r="F72">
        <v>0.2026635</v>
      </c>
      <c r="G72">
        <v>2.0645497E-3</v>
      </c>
      <c r="H72" s="1">
        <v>1.0260155000000001E-5</v>
      </c>
      <c r="I72" s="1">
        <v>3.4964868999999997E-8</v>
      </c>
      <c r="J72" s="1">
        <v>1.1262374E-5</v>
      </c>
      <c r="K72" s="1">
        <v>3.9132787E-7</v>
      </c>
      <c r="L72">
        <v>2.4747051999999999E-2</v>
      </c>
      <c r="M72">
        <v>1.4050936999999999E-4</v>
      </c>
      <c r="N72">
        <v>-1.4807087999999999</v>
      </c>
      <c r="O72">
        <v>3.8132393000000001E-3</v>
      </c>
      <c r="P72" s="1">
        <v>2.0458525999999999E-8</v>
      </c>
      <c r="Q72" s="1">
        <v>1.4461709E-10</v>
      </c>
      <c r="R72">
        <v>1.0479427000000001E-3</v>
      </c>
      <c r="S72" s="1">
        <v>1.9560170000000001E-5</v>
      </c>
    </row>
    <row r="73" spans="1:19" x14ac:dyDescent="0.2">
      <c r="A73" t="s">
        <v>161</v>
      </c>
      <c r="B73">
        <v>3.5217000000000001</v>
      </c>
      <c r="C73" t="s">
        <v>162</v>
      </c>
      <c r="D73" s="1">
        <v>725465510</v>
      </c>
      <c r="E73">
        <v>5826.4575000000004</v>
      </c>
      <c r="F73">
        <v>0.19419036000000001</v>
      </c>
      <c r="G73">
        <v>2.0736175E-3</v>
      </c>
      <c r="H73" s="1">
        <v>1.0104856E-5</v>
      </c>
      <c r="I73" s="1">
        <v>3.5279748000000001E-8</v>
      </c>
      <c r="J73" s="1">
        <v>8.1779657000000008E-6</v>
      </c>
      <c r="K73" s="1">
        <v>4.4509313E-7</v>
      </c>
      <c r="L73">
        <v>2.5584384000000002E-2</v>
      </c>
      <c r="M73">
        <v>1.4534566E-4</v>
      </c>
      <c r="N73">
        <v>-1.4712004999999999</v>
      </c>
      <c r="O73">
        <v>3.8150345999999999E-3</v>
      </c>
      <c r="P73" s="1">
        <v>2.0248266999999999E-8</v>
      </c>
      <c r="Q73" s="1">
        <v>1.4300202999999999E-10</v>
      </c>
      <c r="R73">
        <v>1.0448683999999999E-3</v>
      </c>
      <c r="S73" s="1">
        <v>2.0279498999999998E-5</v>
      </c>
    </row>
    <row r="74" spans="1:19" x14ac:dyDescent="0.2">
      <c r="A74" t="s">
        <v>163</v>
      </c>
      <c r="B74">
        <v>3.5217000000000001</v>
      </c>
      <c r="C74" t="s">
        <v>164</v>
      </c>
      <c r="D74" s="1">
        <v>725425960</v>
      </c>
      <c r="E74">
        <v>5785.6025</v>
      </c>
      <c r="F74">
        <v>0.20083190000000001</v>
      </c>
      <c r="G74">
        <v>2.0971212E-3</v>
      </c>
      <c r="H74" s="1">
        <v>1.0226636E-5</v>
      </c>
      <c r="I74" s="1">
        <v>3.5462207E-8</v>
      </c>
      <c r="J74" s="1">
        <v>1.0401219999999999E-5</v>
      </c>
      <c r="K74" s="1">
        <v>4.1051093000000003E-7</v>
      </c>
      <c r="L74">
        <v>2.4992510999999999E-2</v>
      </c>
      <c r="M74">
        <v>1.4461848000000001E-4</v>
      </c>
      <c r="N74">
        <v>-1.4602212000000001</v>
      </c>
      <c r="O74">
        <v>3.8863943000000001E-3</v>
      </c>
      <c r="P74" s="1">
        <v>2.0235026000000001E-8</v>
      </c>
      <c r="Q74" s="1">
        <v>1.4555431999999999E-10</v>
      </c>
      <c r="R74">
        <v>1.5190576000000001E-3</v>
      </c>
      <c r="S74" s="1">
        <v>2.0003853000000001E-5</v>
      </c>
    </row>
    <row r="75" spans="1:19" x14ac:dyDescent="0.2">
      <c r="A75" t="s">
        <v>165</v>
      </c>
      <c r="B75">
        <v>3.5217000000000001</v>
      </c>
      <c r="C75" t="s">
        <v>166</v>
      </c>
      <c r="D75" s="1">
        <v>725414810</v>
      </c>
      <c r="E75">
        <v>5539.3203999999996</v>
      </c>
      <c r="F75">
        <v>0.19495357999999999</v>
      </c>
      <c r="G75">
        <v>2.0823265E-3</v>
      </c>
      <c r="H75" s="1">
        <v>1.0133091E-5</v>
      </c>
      <c r="I75" s="1">
        <v>3.5528605000000003E-8</v>
      </c>
      <c r="J75" s="1">
        <v>8.7353114000000007E-6</v>
      </c>
      <c r="K75" s="1">
        <v>4.3889735000000001E-7</v>
      </c>
      <c r="L75">
        <v>2.5033542999999998E-2</v>
      </c>
      <c r="M75">
        <v>1.450864E-4</v>
      </c>
      <c r="N75">
        <v>-1.4648364</v>
      </c>
      <c r="O75">
        <v>3.8924735999999998E-3</v>
      </c>
      <c r="P75" s="1">
        <v>2.0300422999999999E-8</v>
      </c>
      <c r="Q75" s="1">
        <v>1.4632238E-10</v>
      </c>
      <c r="R75">
        <v>1.1845536000000001E-3</v>
      </c>
      <c r="S75" s="1">
        <v>2.0246667E-5</v>
      </c>
    </row>
    <row r="76" spans="1:19" x14ac:dyDescent="0.2">
      <c r="A76" t="s">
        <v>167</v>
      </c>
      <c r="B76">
        <v>3.5217000000000001</v>
      </c>
      <c r="C76" t="s">
        <v>168</v>
      </c>
      <c r="D76" s="1">
        <v>725429030</v>
      </c>
      <c r="E76">
        <v>5802.2822999999999</v>
      </c>
      <c r="F76">
        <v>0.19514793</v>
      </c>
      <c r="G76">
        <v>2.0602963000000002E-3</v>
      </c>
      <c r="H76" s="1">
        <v>1.012369E-5</v>
      </c>
      <c r="I76" s="1">
        <v>3.5457767000000001E-8</v>
      </c>
      <c r="J76" s="1">
        <v>9.6248322000000005E-6</v>
      </c>
      <c r="K76" s="1">
        <v>4.2464830000000001E-7</v>
      </c>
      <c r="L76">
        <v>2.4902225E-2</v>
      </c>
      <c r="M76">
        <v>1.4488770000000001E-4</v>
      </c>
      <c r="N76">
        <v>-1.4511229999999999</v>
      </c>
      <c r="O76">
        <v>3.9080640999999998E-3</v>
      </c>
      <c r="P76" s="1">
        <v>2.0093934E-8</v>
      </c>
      <c r="Q76" s="1">
        <v>1.4519569000000001E-10</v>
      </c>
      <c r="R76">
        <v>1.0226263999999999E-3</v>
      </c>
      <c r="S76" s="1">
        <v>2.0070601999999999E-5</v>
      </c>
    </row>
    <row r="77" spans="1:19" x14ac:dyDescent="0.2">
      <c r="A77" t="s">
        <v>169</v>
      </c>
      <c r="B77">
        <v>3.5217000000000001</v>
      </c>
      <c r="C77" t="s">
        <v>170</v>
      </c>
      <c r="D77" s="1">
        <v>725309260</v>
      </c>
      <c r="E77">
        <v>5712.1333000000004</v>
      </c>
      <c r="F77">
        <v>0.19822635</v>
      </c>
      <c r="G77">
        <v>2.0444210999999999E-3</v>
      </c>
      <c r="H77" s="1">
        <v>1.0159868999999999E-5</v>
      </c>
      <c r="I77" s="1">
        <v>3.4646439999999999E-8</v>
      </c>
      <c r="J77" s="1">
        <v>9.5721386999999996E-6</v>
      </c>
      <c r="K77" s="1">
        <v>4.1486454999999999E-7</v>
      </c>
      <c r="L77">
        <v>2.5246326999999999E-2</v>
      </c>
      <c r="M77">
        <v>1.4375086E-4</v>
      </c>
      <c r="N77">
        <v>-1.4559934999999999</v>
      </c>
      <c r="O77">
        <v>3.8235294000000001E-3</v>
      </c>
      <c r="P77" s="1">
        <v>1.9975668E-8</v>
      </c>
      <c r="Q77" s="1">
        <v>1.4112396000000001E-10</v>
      </c>
      <c r="R77">
        <v>1.1928377E-3</v>
      </c>
      <c r="S77" s="1">
        <v>1.9768360999999999E-5</v>
      </c>
    </row>
    <row r="78" spans="1:19" x14ac:dyDescent="0.2">
      <c r="A78" t="s">
        <v>171</v>
      </c>
      <c r="B78">
        <v>3.5217000000000001</v>
      </c>
      <c r="C78" t="s">
        <v>172</v>
      </c>
      <c r="D78" s="1">
        <v>725589780</v>
      </c>
      <c r="E78">
        <v>6186.7575999999999</v>
      </c>
      <c r="F78">
        <v>0.19452774</v>
      </c>
      <c r="G78">
        <v>2.1087828999999999E-3</v>
      </c>
      <c r="H78" s="1">
        <v>1.0165681E-5</v>
      </c>
      <c r="I78" s="1">
        <v>3.6240444999999999E-8</v>
      </c>
      <c r="J78" s="1">
        <v>9.1224939999999997E-6</v>
      </c>
      <c r="K78" s="1">
        <v>4.4080447999999998E-7</v>
      </c>
      <c r="L78">
        <v>2.4735724000000001E-2</v>
      </c>
      <c r="M78">
        <v>1.466936E-4</v>
      </c>
      <c r="N78">
        <v>-1.4852337</v>
      </c>
      <c r="O78">
        <v>3.9817732999999998E-3</v>
      </c>
      <c r="P78" s="1">
        <v>2.0231510000000001E-8</v>
      </c>
      <c r="Q78" s="1">
        <v>1.4912833000000001E-10</v>
      </c>
      <c r="R78">
        <v>1.3469917000000001E-3</v>
      </c>
      <c r="S78" s="1">
        <v>2.0367311000000001E-5</v>
      </c>
    </row>
    <row r="79" spans="1:19" x14ac:dyDescent="0.2">
      <c r="A79" t="s">
        <v>173</v>
      </c>
      <c r="B79">
        <v>3.5217000000000001</v>
      </c>
      <c r="C79" t="s">
        <v>174</v>
      </c>
      <c r="D79" s="1">
        <v>725612630</v>
      </c>
      <c r="E79">
        <v>5866.0268999999998</v>
      </c>
      <c r="F79">
        <v>0.19332558999999999</v>
      </c>
      <c r="G79">
        <v>2.1242298999999999E-3</v>
      </c>
      <c r="H79" s="1">
        <v>1.0030907E-5</v>
      </c>
      <c r="I79" s="1">
        <v>3.6248892999999998E-8</v>
      </c>
      <c r="J79" s="1">
        <v>8.1895558000000001E-6</v>
      </c>
      <c r="K79" s="1">
        <v>4.5897786000000002E-7</v>
      </c>
      <c r="L79">
        <v>2.5191427999999998E-2</v>
      </c>
      <c r="M79">
        <v>1.4817473E-4</v>
      </c>
      <c r="N79">
        <v>-1.4920228</v>
      </c>
      <c r="O79">
        <v>3.9501344000000002E-3</v>
      </c>
      <c r="P79" s="1">
        <v>2.0639705E-8</v>
      </c>
      <c r="Q79" s="1">
        <v>1.5132552000000001E-10</v>
      </c>
      <c r="R79">
        <v>1.3302143E-3</v>
      </c>
      <c r="S79" s="1">
        <v>2.1096100999999999E-5</v>
      </c>
    </row>
    <row r="80" spans="1:19" x14ac:dyDescent="0.2">
      <c r="A80" t="s">
        <v>175</v>
      </c>
      <c r="B80">
        <v>3.5217000000000001</v>
      </c>
      <c r="C80" t="s">
        <v>176</v>
      </c>
      <c r="D80" s="1">
        <v>725708550</v>
      </c>
      <c r="E80">
        <v>5706.2861999999996</v>
      </c>
      <c r="F80">
        <v>0.19738161000000001</v>
      </c>
      <c r="G80">
        <v>2.0108061E-3</v>
      </c>
      <c r="H80" s="1">
        <v>1.0142941E-5</v>
      </c>
      <c r="I80" s="1">
        <v>3.4247149999999997E-8</v>
      </c>
      <c r="J80" s="1">
        <v>9.6696980999999994E-6</v>
      </c>
      <c r="K80" s="1">
        <v>4.0903556999999999E-7</v>
      </c>
      <c r="L80">
        <v>2.4956293000000001E-2</v>
      </c>
      <c r="M80">
        <v>1.4063289000000001E-4</v>
      </c>
      <c r="N80">
        <v>-1.4808538</v>
      </c>
      <c r="O80">
        <v>3.7839555E-3</v>
      </c>
      <c r="P80" s="1">
        <v>2.0171594E-8</v>
      </c>
      <c r="Q80" s="1">
        <v>1.4123118E-10</v>
      </c>
      <c r="R80">
        <v>1.3612646E-3</v>
      </c>
      <c r="S80" s="1">
        <v>1.9511585E-5</v>
      </c>
    </row>
    <row r="81" spans="1:19" x14ac:dyDescent="0.2">
      <c r="A81" t="s">
        <v>177</v>
      </c>
      <c r="B81">
        <v>3.5217000000000001</v>
      </c>
      <c r="C81" t="s">
        <v>178</v>
      </c>
      <c r="D81" s="1">
        <v>725605580</v>
      </c>
      <c r="E81">
        <v>5646.0149000000001</v>
      </c>
      <c r="F81">
        <v>0.19463142999999999</v>
      </c>
      <c r="G81">
        <v>2.063498E-3</v>
      </c>
      <c r="H81" s="1">
        <v>1.0171164999999999E-5</v>
      </c>
      <c r="I81" s="1">
        <v>3.5606013999999999E-8</v>
      </c>
      <c r="J81" s="1">
        <v>9.5233536000000004E-6</v>
      </c>
      <c r="K81" s="1">
        <v>4.2681765E-7</v>
      </c>
      <c r="L81">
        <v>2.4698870000000001E-2</v>
      </c>
      <c r="M81">
        <v>1.4376297E-4</v>
      </c>
      <c r="N81">
        <v>-1.4726983</v>
      </c>
      <c r="O81">
        <v>3.9087706999999996E-3</v>
      </c>
      <c r="P81" s="1">
        <v>2.0169896000000001E-8</v>
      </c>
      <c r="Q81" s="1">
        <v>1.4586889999999999E-10</v>
      </c>
      <c r="R81">
        <v>1.2760410999999999E-3</v>
      </c>
      <c r="S81" s="1">
        <v>1.9907247999999999E-5</v>
      </c>
    </row>
    <row r="82" spans="1:19" x14ac:dyDescent="0.2">
      <c r="A82" t="s">
        <v>179</v>
      </c>
      <c r="B82">
        <v>3.5217000000000001</v>
      </c>
      <c r="C82" t="s">
        <v>180</v>
      </c>
      <c r="D82" s="1">
        <v>725644490</v>
      </c>
      <c r="E82">
        <v>5439.9731000000002</v>
      </c>
      <c r="F82">
        <v>0.19383408999999999</v>
      </c>
      <c r="G82">
        <v>2.0294923E-3</v>
      </c>
      <c r="H82" s="1">
        <v>1.0127415E-5</v>
      </c>
      <c r="I82" s="1">
        <v>3.5005679000000003E-8</v>
      </c>
      <c r="J82" s="1">
        <v>9.2088593000000002E-6</v>
      </c>
      <c r="K82" s="1">
        <v>4.2539630999999999E-7</v>
      </c>
      <c r="L82">
        <v>2.4864154999999999E-2</v>
      </c>
      <c r="M82">
        <v>1.4162054E-4</v>
      </c>
      <c r="N82">
        <v>-1.4739853999999999</v>
      </c>
      <c r="O82">
        <v>3.8252843000000001E-3</v>
      </c>
      <c r="P82" s="1">
        <v>2.0281662000000001E-8</v>
      </c>
      <c r="Q82" s="1">
        <v>1.4364750999999999E-10</v>
      </c>
      <c r="R82">
        <v>1.0657570000000001E-3</v>
      </c>
      <c r="S82" s="1">
        <v>1.9756006000000002E-5</v>
      </c>
    </row>
    <row r="83" spans="1:19" x14ac:dyDescent="0.2">
      <c r="A83" t="s">
        <v>181</v>
      </c>
      <c r="B83">
        <v>3.5217000000000001</v>
      </c>
      <c r="C83" t="s">
        <v>182</v>
      </c>
      <c r="D83" s="1">
        <v>725793320</v>
      </c>
      <c r="E83">
        <v>5982.7186000000002</v>
      </c>
      <c r="F83">
        <v>0.19841364</v>
      </c>
      <c r="G83">
        <v>2.1201033E-3</v>
      </c>
      <c r="H83" s="1">
        <v>1.0193736E-5</v>
      </c>
      <c r="I83" s="1">
        <v>3.6335215999999997E-8</v>
      </c>
      <c r="J83" s="1">
        <v>1.0585642000000001E-5</v>
      </c>
      <c r="K83" s="1">
        <v>4.1859028999999998E-7</v>
      </c>
      <c r="L83">
        <v>2.4671925000000001E-2</v>
      </c>
      <c r="M83">
        <v>1.4764284E-4</v>
      </c>
      <c r="N83">
        <v>-1.4797764</v>
      </c>
      <c r="O83">
        <v>4.0184232999999998E-3</v>
      </c>
      <c r="P83" s="1">
        <v>2.0102722999999999E-8</v>
      </c>
      <c r="Q83" s="1">
        <v>1.4939633000000001E-10</v>
      </c>
      <c r="R83">
        <v>1.0465065E-3</v>
      </c>
      <c r="S83" s="1">
        <v>2.0359036000000001E-5</v>
      </c>
    </row>
    <row r="84" spans="1:19" x14ac:dyDescent="0.2">
      <c r="A84" t="s">
        <v>183</v>
      </c>
      <c r="B84">
        <v>3.5217000000000001</v>
      </c>
      <c r="C84" t="s">
        <v>184</v>
      </c>
      <c r="D84" s="1">
        <v>725847720</v>
      </c>
      <c r="E84">
        <v>6121.3539000000001</v>
      </c>
      <c r="F84">
        <v>0.19659372</v>
      </c>
      <c r="G84">
        <v>2.1099978E-3</v>
      </c>
      <c r="H84" s="1">
        <v>1.0109651999999999E-5</v>
      </c>
      <c r="I84" s="1">
        <v>3.6069032000000001E-8</v>
      </c>
      <c r="J84" s="1">
        <v>9.7096180000000002E-6</v>
      </c>
      <c r="K84" s="1">
        <v>4.3099481E-7</v>
      </c>
      <c r="L84">
        <v>2.5041692000000001E-2</v>
      </c>
      <c r="M84">
        <v>1.4876935E-4</v>
      </c>
      <c r="N84">
        <v>-1.5018254</v>
      </c>
      <c r="O84">
        <v>3.9878915000000001E-3</v>
      </c>
      <c r="P84" s="1">
        <v>2.0087192999999998E-8</v>
      </c>
      <c r="Q84" s="1">
        <v>1.4816390000000001E-10</v>
      </c>
      <c r="R84">
        <v>1.4809002999999999E-3</v>
      </c>
      <c r="S84" s="1">
        <v>2.0614848999999999E-5</v>
      </c>
    </row>
    <row r="85" spans="1:19" x14ac:dyDescent="0.2">
      <c r="A85" t="s">
        <v>185</v>
      </c>
      <c r="B85">
        <v>3.5217000000000001</v>
      </c>
      <c r="C85" t="s">
        <v>186</v>
      </c>
      <c r="D85" s="1">
        <v>725661630</v>
      </c>
      <c r="E85">
        <v>6073.6073999999999</v>
      </c>
      <c r="F85">
        <v>0.19752769000000001</v>
      </c>
      <c r="G85">
        <v>2.1442193999999999E-3</v>
      </c>
      <c r="H85" s="1">
        <v>1.0159931000000001E-5</v>
      </c>
      <c r="I85" s="1">
        <v>3.64975E-8</v>
      </c>
      <c r="J85" s="1">
        <v>9.6074761E-6</v>
      </c>
      <c r="K85" s="1">
        <v>4.3618814000000002E-7</v>
      </c>
      <c r="L85">
        <v>2.5300576000000002E-2</v>
      </c>
      <c r="M85">
        <v>1.0279844E-4</v>
      </c>
      <c r="N85">
        <v>-1.4608711000000001</v>
      </c>
      <c r="O85">
        <v>4.0298842999999997E-3</v>
      </c>
      <c r="P85" s="1">
        <v>1.9821235000000001E-8</v>
      </c>
      <c r="Q85" t="s">
        <v>187</v>
      </c>
      <c r="R85">
        <v>1.2365488999999999E-3</v>
      </c>
      <c r="S85" s="1">
        <v>2.0750246999999999E-5</v>
      </c>
    </row>
    <row r="86" spans="1:19" x14ac:dyDescent="0.2">
      <c r="A86" t="s">
        <v>188</v>
      </c>
      <c r="B86">
        <v>3.5217000000000001</v>
      </c>
      <c r="C86" t="s">
        <v>189</v>
      </c>
      <c r="D86" s="1">
        <v>725676400</v>
      </c>
      <c r="E86">
        <v>5870.0640999999996</v>
      </c>
      <c r="F86">
        <v>0.19677422</v>
      </c>
      <c r="G86">
        <v>2.0986913999999999E-3</v>
      </c>
      <c r="H86" s="1">
        <v>1.0142242000000001E-5</v>
      </c>
      <c r="I86" s="1">
        <v>3.5754457E-8</v>
      </c>
      <c r="J86" s="1">
        <v>9.4211511999999997E-6</v>
      </c>
      <c r="K86" s="1">
        <v>4.3086930999999998E-7</v>
      </c>
      <c r="L86">
        <v>2.5226992E-2</v>
      </c>
      <c r="M86">
        <v>1.4668189000000001E-4</v>
      </c>
      <c r="N86">
        <v>-1.4715845000000001</v>
      </c>
      <c r="O86">
        <v>3.9049805999999999E-3</v>
      </c>
      <c r="P86" s="1">
        <v>2.0188514E-8</v>
      </c>
      <c r="Q86" s="1">
        <v>1.4587325000000001E-10</v>
      </c>
      <c r="R86">
        <v>1.1063326E-3</v>
      </c>
      <c r="S86" s="1">
        <v>2.0367207999999999E-5</v>
      </c>
    </row>
    <row r="87" spans="1:19" x14ac:dyDescent="0.2">
      <c r="A87" t="s">
        <v>190</v>
      </c>
      <c r="B87">
        <v>3.5217000000000001</v>
      </c>
      <c r="C87" t="s">
        <v>191</v>
      </c>
      <c r="D87" s="1">
        <v>725726860</v>
      </c>
      <c r="E87">
        <v>5978.991</v>
      </c>
      <c r="F87">
        <v>0.19893575999999999</v>
      </c>
      <c r="G87">
        <v>2.1035741E-3</v>
      </c>
      <c r="H87" s="1">
        <v>1.0190578E-5</v>
      </c>
      <c r="I87" s="1">
        <v>3.5481597E-8</v>
      </c>
      <c r="J87" s="1">
        <v>9.4069310999999994E-6</v>
      </c>
      <c r="K87" s="1">
        <v>4.2663658E-7</v>
      </c>
      <c r="L87">
        <v>2.4739609999999999E-2</v>
      </c>
      <c r="M87">
        <v>1.4674457E-4</v>
      </c>
      <c r="N87">
        <v>-1.4735271000000001</v>
      </c>
      <c r="O87">
        <v>3.9832200999999996E-3</v>
      </c>
      <c r="P87" s="1">
        <v>2.0069095E-8</v>
      </c>
      <c r="Q87" s="1">
        <v>1.4780081000000001E-10</v>
      </c>
      <c r="R87">
        <v>1.2606389E-3</v>
      </c>
      <c r="S87" s="1">
        <v>2.0213204999999999E-5</v>
      </c>
    </row>
    <row r="88" spans="1:19" x14ac:dyDescent="0.2">
      <c r="A88" t="s">
        <v>192</v>
      </c>
      <c r="B88">
        <v>3.5217000000000001</v>
      </c>
      <c r="C88" t="s">
        <v>193</v>
      </c>
      <c r="D88" s="1">
        <v>725851190</v>
      </c>
      <c r="E88">
        <v>5728.3069999999998</v>
      </c>
      <c r="F88">
        <v>0.19838828</v>
      </c>
      <c r="G88">
        <v>2.1285978000000001E-3</v>
      </c>
      <c r="H88" s="1">
        <v>1.0159293E-5</v>
      </c>
      <c r="I88" s="1">
        <v>3.6409688E-8</v>
      </c>
      <c r="J88" s="1">
        <v>1.0470408000000001E-5</v>
      </c>
      <c r="K88" s="1">
        <v>4.2204100000000001E-7</v>
      </c>
      <c r="L88">
        <v>2.4039478999999999E-2</v>
      </c>
      <c r="M88">
        <v>1.4597327000000001E-4</v>
      </c>
      <c r="N88">
        <v>-1.4908737000000001</v>
      </c>
      <c r="O88">
        <v>4.0784860999999997E-3</v>
      </c>
      <c r="P88" s="1">
        <v>2.0620323999999999E-8</v>
      </c>
      <c r="Q88" s="1">
        <v>1.5606123E-10</v>
      </c>
      <c r="R88">
        <v>1.2821763E-3</v>
      </c>
      <c r="S88" s="1">
        <v>2.0586437000000001E-5</v>
      </c>
    </row>
    <row r="89" spans="1:19" x14ac:dyDescent="0.2">
      <c r="A89" t="s">
        <v>194</v>
      </c>
      <c r="B89">
        <v>3.5217000000000001</v>
      </c>
      <c r="C89" t="s">
        <v>195</v>
      </c>
      <c r="D89" s="1">
        <v>725635520</v>
      </c>
      <c r="E89">
        <v>6312.8312999999998</v>
      </c>
      <c r="F89">
        <v>0.19714228</v>
      </c>
      <c r="G89">
        <v>2.1353830999999998E-3</v>
      </c>
      <c r="H89" s="1">
        <v>1.0155287E-5</v>
      </c>
      <c r="I89" s="1">
        <v>3.6436565999999998E-8</v>
      </c>
      <c r="J89" s="1">
        <v>9.6628119999999995E-6</v>
      </c>
      <c r="K89" s="1">
        <v>4.3471493E-7</v>
      </c>
      <c r="L89">
        <v>2.4989035999999999E-2</v>
      </c>
      <c r="M89">
        <v>1.0292050000000001E-4</v>
      </c>
      <c r="N89">
        <v>-1.4762915000000001</v>
      </c>
      <c r="O89">
        <v>4.0837876000000004E-3</v>
      </c>
      <c r="P89" s="1">
        <v>1.9708066999999998E-8</v>
      </c>
      <c r="Q89" t="s">
        <v>187</v>
      </c>
      <c r="R89">
        <v>1.2473333000000001E-3</v>
      </c>
      <c r="S89" s="1">
        <v>2.0684212E-5</v>
      </c>
    </row>
    <row r="90" spans="1:19" x14ac:dyDescent="0.2">
      <c r="A90" t="s">
        <v>196</v>
      </c>
      <c r="B90">
        <v>3.5217000000000001</v>
      </c>
      <c r="C90" t="s">
        <v>197</v>
      </c>
      <c r="D90" s="1">
        <v>725811860</v>
      </c>
      <c r="E90">
        <v>6182.4426000000003</v>
      </c>
      <c r="F90">
        <v>0.19868693000000001</v>
      </c>
      <c r="G90">
        <v>2.1069731999999999E-3</v>
      </c>
      <c r="H90" s="1">
        <v>1.0135318E-5</v>
      </c>
      <c r="I90" s="1">
        <v>3.5894003999999998E-8</v>
      </c>
      <c r="J90" s="1">
        <v>1.0297694E-5</v>
      </c>
      <c r="K90" s="1">
        <v>4.1929377999999999E-7</v>
      </c>
      <c r="L90">
        <v>2.4777038000000001E-2</v>
      </c>
      <c r="M90">
        <v>1.4865119E-4</v>
      </c>
      <c r="N90">
        <v>-1.4758549000000001</v>
      </c>
      <c r="O90">
        <v>4.0286947999999996E-3</v>
      </c>
      <c r="P90" s="1">
        <v>1.997567E-8</v>
      </c>
      <c r="Q90" s="1">
        <v>1.4869847999999999E-10</v>
      </c>
      <c r="R90">
        <v>9.5327913000000004E-4</v>
      </c>
      <c r="S90" s="1">
        <v>2.0476230000000001E-5</v>
      </c>
    </row>
    <row r="91" spans="1:19" x14ac:dyDescent="0.2">
      <c r="A91" t="s">
        <v>198</v>
      </c>
      <c r="B91">
        <v>3.5217000000000001</v>
      </c>
      <c r="C91" t="s">
        <v>199</v>
      </c>
      <c r="D91" s="1">
        <v>725902000</v>
      </c>
      <c r="E91">
        <v>5839.7444999999998</v>
      </c>
      <c r="F91">
        <v>0.18836432</v>
      </c>
      <c r="G91">
        <v>2.0564737999999999E-3</v>
      </c>
      <c r="H91" s="1">
        <v>1.0073878999999999E-5</v>
      </c>
      <c r="I91" s="1">
        <v>3.6501751999999999E-8</v>
      </c>
      <c r="J91" s="1">
        <v>9.3204944E-6</v>
      </c>
      <c r="K91" s="1">
        <v>4.4315883999999998E-7</v>
      </c>
      <c r="L91">
        <v>2.4167256000000002E-2</v>
      </c>
      <c r="M91">
        <v>1.4485082E-4</v>
      </c>
      <c r="N91">
        <v>-1.4854617999999999</v>
      </c>
      <c r="O91">
        <v>4.0251104999999999E-3</v>
      </c>
      <c r="P91" s="1">
        <v>2.0231666999999999E-8</v>
      </c>
      <c r="Q91" s="1">
        <v>1.5073319999999999E-10</v>
      </c>
      <c r="R91">
        <v>9.0359716000000003E-4</v>
      </c>
      <c r="S91" s="1">
        <v>2.0240944000000002E-5</v>
      </c>
    </row>
    <row r="92" spans="1:19" x14ac:dyDescent="0.2">
      <c r="A92" t="s">
        <v>200</v>
      </c>
      <c r="B92">
        <v>3.5217000000000001</v>
      </c>
      <c r="C92" t="s">
        <v>201</v>
      </c>
      <c r="D92" s="1">
        <v>726007490</v>
      </c>
      <c r="E92">
        <v>5866.9835000000003</v>
      </c>
      <c r="F92">
        <v>0.19573109</v>
      </c>
      <c r="G92">
        <v>2.0581328000000001E-3</v>
      </c>
      <c r="H92" s="1">
        <v>1.0101524E-5</v>
      </c>
      <c r="I92" s="1">
        <v>3.5039540999999997E-8</v>
      </c>
      <c r="J92" s="1">
        <v>8.9617585999999992E-6</v>
      </c>
      <c r="K92" s="1">
        <v>4.3016333999999997E-7</v>
      </c>
      <c r="L92">
        <v>2.4702775999999999E-2</v>
      </c>
      <c r="M92">
        <v>1.4374634000000001E-4</v>
      </c>
      <c r="N92">
        <v>-1.511957</v>
      </c>
      <c r="O92">
        <v>3.9066537000000002E-3</v>
      </c>
      <c r="P92" s="1">
        <v>2.0356963E-8</v>
      </c>
      <c r="Q92" s="1">
        <v>1.4735775E-10</v>
      </c>
      <c r="R92">
        <v>1.1751992999999999E-3</v>
      </c>
      <c r="S92" s="1">
        <v>2.0142516999999999E-5</v>
      </c>
    </row>
    <row r="93" spans="1:19" x14ac:dyDescent="0.2">
      <c r="A93" t="s">
        <v>202</v>
      </c>
      <c r="B93">
        <v>3.5217000000000001</v>
      </c>
      <c r="C93" t="s">
        <v>203</v>
      </c>
      <c r="D93" s="1">
        <v>725976070</v>
      </c>
      <c r="E93">
        <v>5835.1422000000002</v>
      </c>
      <c r="F93">
        <v>0.19930856999999999</v>
      </c>
      <c r="G93">
        <v>2.0218628E-3</v>
      </c>
      <c r="H93" s="1">
        <v>1.0137354E-5</v>
      </c>
      <c r="I93" s="1">
        <v>3.4527574E-8</v>
      </c>
      <c r="J93" s="1">
        <v>1.0784330999999999E-5</v>
      </c>
      <c r="K93" s="1">
        <v>3.9617945000000001E-7</v>
      </c>
      <c r="L93">
        <v>2.4887346000000001E-2</v>
      </c>
      <c r="M93">
        <v>1.4174801000000001E-4</v>
      </c>
      <c r="N93">
        <v>-1.4917788999999999</v>
      </c>
      <c r="O93">
        <v>3.8243493E-3</v>
      </c>
      <c r="P93" s="1">
        <v>2.0130225000000001E-8</v>
      </c>
      <c r="Q93" s="1">
        <v>1.4240917999999999E-10</v>
      </c>
      <c r="R93">
        <v>1.0953587000000001E-3</v>
      </c>
      <c r="S93" s="1">
        <v>1.9641372000000001E-5</v>
      </c>
    </row>
    <row r="94" spans="1:19" x14ac:dyDescent="0.2">
      <c r="A94" t="s">
        <v>204</v>
      </c>
      <c r="B94">
        <v>3.5217000000000001</v>
      </c>
      <c r="C94" t="s">
        <v>205</v>
      </c>
      <c r="D94" s="1">
        <v>725962340</v>
      </c>
      <c r="E94">
        <v>5634.4300999999996</v>
      </c>
      <c r="F94">
        <v>0.19853107</v>
      </c>
      <c r="G94">
        <v>2.0083191999999998E-3</v>
      </c>
      <c r="H94" s="1">
        <v>1.0219574999999999E-5</v>
      </c>
      <c r="I94" s="1">
        <v>3.4642367000000001E-8</v>
      </c>
      <c r="J94" s="1">
        <v>1.1150605E-5</v>
      </c>
      <c r="K94" s="1">
        <v>3.9026638999999999E-7</v>
      </c>
      <c r="L94">
        <v>2.4052845E-2</v>
      </c>
      <c r="M94">
        <v>1.37706E-4</v>
      </c>
      <c r="N94">
        <v>-1.4878439000000001</v>
      </c>
      <c r="O94">
        <v>3.8451893999999999E-3</v>
      </c>
      <c r="P94" s="1">
        <v>2.0408014000000001E-8</v>
      </c>
      <c r="Q94" s="1">
        <v>1.4541541999999999E-10</v>
      </c>
      <c r="R94">
        <v>1.3441289000000001E-3</v>
      </c>
      <c r="S94" s="1">
        <v>1.9184894E-5</v>
      </c>
    </row>
    <row r="95" spans="1:19" x14ac:dyDescent="0.2">
      <c r="A95" t="s">
        <v>206</v>
      </c>
      <c r="B95">
        <v>3.5217000000000001</v>
      </c>
      <c r="C95" t="s">
        <v>207</v>
      </c>
      <c r="D95" s="1">
        <v>725974730</v>
      </c>
      <c r="E95">
        <v>5782.1117000000004</v>
      </c>
      <c r="F95">
        <v>0.19784382</v>
      </c>
      <c r="G95">
        <v>2.1114165999999998E-3</v>
      </c>
      <c r="H95" s="1">
        <v>1.0128076999999999E-5</v>
      </c>
      <c r="I95" s="1">
        <v>3.5844980000000001E-8</v>
      </c>
      <c r="J95" s="1">
        <v>9.6194417999999998E-6</v>
      </c>
      <c r="K95" s="1">
        <v>4.2924243000000002E-7</v>
      </c>
      <c r="L95">
        <v>2.4812561E-2</v>
      </c>
      <c r="M95">
        <v>1.4674187999999999E-4</v>
      </c>
      <c r="N95">
        <v>-1.5027321</v>
      </c>
      <c r="O95">
        <v>3.9710370999999998E-3</v>
      </c>
      <c r="P95" s="1">
        <v>2.0387707E-8</v>
      </c>
      <c r="Q95" s="1">
        <v>1.5002908000000001E-10</v>
      </c>
      <c r="R95">
        <v>1.0977539E-3</v>
      </c>
      <c r="S95" s="1">
        <v>2.0551218E-5</v>
      </c>
    </row>
    <row r="96" spans="1:19" x14ac:dyDescent="0.2">
      <c r="A96" t="s">
        <v>208</v>
      </c>
      <c r="B96">
        <v>3.5217000000000001</v>
      </c>
      <c r="C96" t="s">
        <v>209</v>
      </c>
      <c r="D96" s="1">
        <v>725952650</v>
      </c>
      <c r="E96">
        <v>5886.1826000000001</v>
      </c>
      <c r="F96">
        <v>0.18857609</v>
      </c>
      <c r="G96">
        <v>2.0050899000000001E-3</v>
      </c>
      <c r="H96" s="1">
        <v>1.0089004E-5</v>
      </c>
      <c r="I96" s="1">
        <v>3.5200120000000003E-8</v>
      </c>
      <c r="J96" s="1">
        <v>8.3937524999999992E-6</v>
      </c>
      <c r="K96" s="1">
        <v>4.4115280999999998E-7</v>
      </c>
      <c r="L96">
        <v>2.4379819E-2</v>
      </c>
      <c r="M96">
        <v>1.4136204E-4</v>
      </c>
      <c r="N96">
        <v>-1.4830394</v>
      </c>
      <c r="O96">
        <v>3.8939826E-3</v>
      </c>
      <c r="P96" s="1">
        <v>2.0154221000000001E-8</v>
      </c>
      <c r="Q96" s="1">
        <v>1.4518455000000001E-10</v>
      </c>
      <c r="R96">
        <v>1.4338298E-3</v>
      </c>
      <c r="S96" s="1">
        <v>1.9673367E-5</v>
      </c>
    </row>
    <row r="97" spans="1:19" x14ac:dyDescent="0.2">
      <c r="A97" t="s">
        <v>210</v>
      </c>
      <c r="B97">
        <v>3.5217000000000001</v>
      </c>
      <c r="C97" t="s">
        <v>211</v>
      </c>
      <c r="D97" s="1">
        <v>726219430</v>
      </c>
      <c r="E97">
        <v>5984.5888999999997</v>
      </c>
      <c r="F97">
        <v>0.19618020999999999</v>
      </c>
      <c r="G97">
        <v>2.0328918000000001E-3</v>
      </c>
      <c r="H97" s="1">
        <v>1.0140626E-5</v>
      </c>
      <c r="I97" s="1">
        <v>3.4984778999999998E-8</v>
      </c>
      <c r="J97" s="1">
        <v>1.0057196999999999E-5</v>
      </c>
      <c r="K97" s="1">
        <v>4.1211318999999998E-7</v>
      </c>
      <c r="L97">
        <v>2.4768643E-2</v>
      </c>
      <c r="M97">
        <v>1.4287357000000001E-4</v>
      </c>
      <c r="N97">
        <v>-1.5113342999999999</v>
      </c>
      <c r="O97">
        <v>3.8722701000000002E-3</v>
      </c>
      <c r="P97" s="1">
        <v>2.0059708999999999E-8</v>
      </c>
      <c r="Q97" s="1">
        <v>1.4363871999999999E-10</v>
      </c>
      <c r="R97">
        <v>1.4132013999999999E-3</v>
      </c>
      <c r="S97" s="1">
        <v>1.9735280999999999E-5</v>
      </c>
    </row>
    <row r="98" spans="1:19" x14ac:dyDescent="0.2">
      <c r="A98" t="s">
        <v>212</v>
      </c>
      <c r="B98">
        <v>3.5217000000000001</v>
      </c>
      <c r="C98" t="s">
        <v>213</v>
      </c>
      <c r="D98" s="1">
        <v>725991650</v>
      </c>
      <c r="E98">
        <v>6139.8113999999996</v>
      </c>
      <c r="F98">
        <v>0.19555953000000001</v>
      </c>
      <c r="G98">
        <v>2.0211391E-3</v>
      </c>
      <c r="H98" s="1">
        <v>1.0108061000000001E-5</v>
      </c>
      <c r="I98" s="1">
        <v>3.4926559999999998E-8</v>
      </c>
      <c r="J98" s="1">
        <v>1.0211993000000001E-5</v>
      </c>
      <c r="K98" s="1">
        <v>4.0990625999999998E-7</v>
      </c>
      <c r="L98">
        <v>2.4719569E-2</v>
      </c>
      <c r="M98">
        <v>1.4325454E-4</v>
      </c>
      <c r="N98">
        <v>-1.4881971000000001</v>
      </c>
      <c r="O98">
        <v>3.8910238999999998E-3</v>
      </c>
      <c r="P98" s="1">
        <v>1.9955651999999998E-8</v>
      </c>
      <c r="Q98" s="1">
        <v>1.4346309E-10</v>
      </c>
      <c r="R98">
        <v>1.2966212E-3</v>
      </c>
      <c r="S98" s="1">
        <v>1.9752641999999999E-5</v>
      </c>
    </row>
    <row r="99" spans="1:19" x14ac:dyDescent="0.2">
      <c r="A99" t="s">
        <v>214</v>
      </c>
      <c r="B99">
        <v>3.5217000000000001</v>
      </c>
      <c r="C99" t="s">
        <v>215</v>
      </c>
      <c r="D99" s="1">
        <v>725968960</v>
      </c>
      <c r="E99">
        <v>6453.8068000000003</v>
      </c>
      <c r="F99">
        <v>0.19470065</v>
      </c>
      <c r="G99">
        <v>2.0722641999999999E-3</v>
      </c>
      <c r="H99" s="1">
        <v>1.0098157E-5</v>
      </c>
      <c r="I99" s="1">
        <v>3.5728969000000002E-8</v>
      </c>
      <c r="J99" s="1">
        <v>9.5954551E-6</v>
      </c>
      <c r="K99" s="1">
        <v>4.2869515E-7</v>
      </c>
      <c r="L99">
        <v>2.4943145E-2</v>
      </c>
      <c r="M99">
        <v>1.0110001000000001E-4</v>
      </c>
      <c r="N99">
        <v>-1.493498</v>
      </c>
      <c r="O99">
        <v>4.0184914E-3</v>
      </c>
      <c r="P99" s="1">
        <v>1.9602755999999999E-8</v>
      </c>
      <c r="Q99" t="s">
        <v>187</v>
      </c>
      <c r="R99">
        <v>1.4180200000000001E-3</v>
      </c>
      <c r="S99" s="1">
        <v>2.0309923999999999E-5</v>
      </c>
    </row>
    <row r="100" spans="1:19" x14ac:dyDescent="0.2">
      <c r="A100" t="s">
        <v>216</v>
      </c>
      <c r="B100">
        <v>3.5217000000000001</v>
      </c>
      <c r="C100" t="s">
        <v>217</v>
      </c>
      <c r="D100" s="1">
        <v>725775330</v>
      </c>
      <c r="E100">
        <v>6339.2584999999999</v>
      </c>
      <c r="F100">
        <v>0.19510300999999999</v>
      </c>
      <c r="G100">
        <v>2.1714960999999998E-3</v>
      </c>
      <c r="H100" s="1">
        <v>1.0103925999999999E-5</v>
      </c>
      <c r="I100" s="1">
        <v>3.7278813999999999E-8</v>
      </c>
      <c r="J100" s="1">
        <v>9.4213669000000008E-6</v>
      </c>
      <c r="K100" s="1">
        <v>4.5021524000000001E-7</v>
      </c>
      <c r="L100">
        <v>2.4921861999999999E-2</v>
      </c>
      <c r="M100">
        <v>1.5369965000000001E-4</v>
      </c>
      <c r="N100">
        <v>-1.4822728999999999</v>
      </c>
      <c r="O100">
        <v>4.1408358000000001E-3</v>
      </c>
      <c r="P100" s="1">
        <v>2.0004913000000002E-8</v>
      </c>
      <c r="Q100" s="1">
        <v>1.5310444E-10</v>
      </c>
      <c r="R100">
        <v>1.2095732999999999E-3</v>
      </c>
      <c r="S100" s="1">
        <v>2.1240294000000001E-5</v>
      </c>
    </row>
    <row r="101" spans="1:19" x14ac:dyDescent="0.2">
      <c r="A101" t="s">
        <v>218</v>
      </c>
      <c r="B101">
        <v>3.5217000000000001</v>
      </c>
      <c r="C101" t="s">
        <v>219</v>
      </c>
      <c r="D101" s="1">
        <v>726077270</v>
      </c>
      <c r="E101">
        <v>5882.6085000000003</v>
      </c>
      <c r="F101">
        <v>0.19308855</v>
      </c>
      <c r="G101">
        <v>2.0488906E-3</v>
      </c>
      <c r="H101" s="1">
        <v>1.0095291E-5</v>
      </c>
      <c r="I101" s="1">
        <v>3.5529327999999999E-8</v>
      </c>
      <c r="J101" s="1">
        <v>9.4082794E-6</v>
      </c>
      <c r="K101" s="1">
        <v>4.2948746000000001E-7</v>
      </c>
      <c r="L101">
        <v>2.4349280000000001E-2</v>
      </c>
      <c r="M101">
        <v>1.4410525000000001E-4</v>
      </c>
      <c r="N101">
        <v>-1.4998906000000001</v>
      </c>
      <c r="O101">
        <v>3.9737842999999998E-3</v>
      </c>
      <c r="P101" s="1">
        <v>2.0196386000000002E-8</v>
      </c>
      <c r="Q101" s="1">
        <v>1.4853091E-10</v>
      </c>
      <c r="R101">
        <v>1.0098562E-3</v>
      </c>
      <c r="S101" s="1">
        <v>2.007733E-5</v>
      </c>
    </row>
    <row r="102" spans="1:19" x14ac:dyDescent="0.2">
      <c r="A102" t="s">
        <v>220</v>
      </c>
      <c r="B102">
        <v>3.5217000000000001</v>
      </c>
      <c r="C102" t="s">
        <v>221</v>
      </c>
      <c r="D102" s="1">
        <v>725906150</v>
      </c>
      <c r="E102">
        <v>5767.3499000000002</v>
      </c>
      <c r="F102">
        <v>0.19602457000000001</v>
      </c>
      <c r="G102">
        <v>2.0507943E-3</v>
      </c>
      <c r="H102" s="1">
        <v>1.0125560000000001E-5</v>
      </c>
      <c r="I102" s="1">
        <v>3.5020296999999997E-8</v>
      </c>
      <c r="J102" s="1">
        <v>9.3224968999999994E-6</v>
      </c>
      <c r="K102" s="1">
        <v>4.2390665000000001E-7</v>
      </c>
      <c r="L102">
        <v>2.4806762E-2</v>
      </c>
      <c r="M102">
        <v>1.4399277E-4</v>
      </c>
      <c r="N102">
        <v>-1.4882215000000001</v>
      </c>
      <c r="O102">
        <v>3.8976115999999998E-3</v>
      </c>
      <c r="P102" s="1">
        <v>2.0132857E-8</v>
      </c>
      <c r="Q102" s="1">
        <v>1.4515716000000001E-10</v>
      </c>
      <c r="R102">
        <v>1.3688799E-3</v>
      </c>
      <c r="S102" s="1">
        <v>1.9970777999999998E-5</v>
      </c>
    </row>
    <row r="103" spans="1:19" x14ac:dyDescent="0.2">
      <c r="A103" t="s">
        <v>222</v>
      </c>
      <c r="B103">
        <v>3.5217000000000001</v>
      </c>
      <c r="C103" t="s">
        <v>223</v>
      </c>
      <c r="D103" s="1">
        <v>726087330</v>
      </c>
      <c r="E103">
        <v>5713.9202999999998</v>
      </c>
      <c r="F103">
        <v>0.19458192999999999</v>
      </c>
      <c r="G103">
        <v>2.0181558E-3</v>
      </c>
      <c r="H103" s="1">
        <v>1.0142784999999999E-5</v>
      </c>
      <c r="I103" s="1">
        <v>3.4993453000000003E-8</v>
      </c>
      <c r="J103" s="1">
        <v>9.9937888000000008E-6</v>
      </c>
      <c r="K103" s="1">
        <v>4.1310719999999998E-7</v>
      </c>
      <c r="L103">
        <v>2.4428519999999999E-2</v>
      </c>
      <c r="M103">
        <v>1.4133833E-4</v>
      </c>
      <c r="N103">
        <v>-1.5035666999999999</v>
      </c>
      <c r="O103">
        <v>3.8844236999999999E-3</v>
      </c>
      <c r="P103" s="1">
        <v>2.0140335000000001E-8</v>
      </c>
      <c r="Q103" s="1">
        <v>1.4474066E-10</v>
      </c>
      <c r="R103">
        <v>1.2369080000000001E-3</v>
      </c>
      <c r="S103" s="1">
        <v>1.9583644E-5</v>
      </c>
    </row>
    <row r="104" spans="1:19" x14ac:dyDescent="0.2">
      <c r="A104" t="s">
        <v>224</v>
      </c>
      <c r="B104">
        <v>3.5217000000000001</v>
      </c>
      <c r="C104" t="s">
        <v>225</v>
      </c>
      <c r="D104" s="1">
        <v>725917540</v>
      </c>
      <c r="E104">
        <v>5900.9038</v>
      </c>
      <c r="F104">
        <v>0.19219607</v>
      </c>
      <c r="G104">
        <v>2.0196597999999999E-3</v>
      </c>
      <c r="H104" s="1">
        <v>1.0055500000000001E-5</v>
      </c>
      <c r="I104" s="1">
        <v>3.4987230999999998E-8</v>
      </c>
      <c r="J104" s="1">
        <v>8.9815183999999993E-6</v>
      </c>
      <c r="K104" s="1">
        <v>4.3034742E-7</v>
      </c>
      <c r="L104">
        <v>2.4568596000000002E-2</v>
      </c>
      <c r="M104">
        <v>1.4371484E-4</v>
      </c>
      <c r="N104">
        <v>-1.4827261</v>
      </c>
      <c r="O104">
        <v>3.9279789999999998E-3</v>
      </c>
      <c r="P104" s="1">
        <v>2.0037245000000001E-8</v>
      </c>
      <c r="Q104" s="1">
        <v>1.4549178E-10</v>
      </c>
      <c r="R104">
        <v>1.1988102999999999E-3</v>
      </c>
      <c r="S104" s="1">
        <v>1.9953952000000001E-5</v>
      </c>
    </row>
    <row r="105" spans="1:19" x14ac:dyDescent="0.2">
      <c r="A105" t="s">
        <v>226</v>
      </c>
      <c r="B105">
        <v>3.5217000000000001</v>
      </c>
      <c r="C105" t="s">
        <v>227</v>
      </c>
      <c r="D105" s="1">
        <v>725981020</v>
      </c>
      <c r="E105">
        <v>5652.2097000000003</v>
      </c>
      <c r="F105">
        <v>0.19223551</v>
      </c>
      <c r="G105">
        <v>1.9818116999999998E-3</v>
      </c>
      <c r="H105" s="1">
        <v>1.0071244E-5</v>
      </c>
      <c r="I105" s="1">
        <v>3.4409588000000003E-8</v>
      </c>
      <c r="J105" s="1">
        <v>9.1727906000000003E-6</v>
      </c>
      <c r="K105" s="1">
        <v>4.2001722E-7</v>
      </c>
      <c r="L105">
        <v>2.4326301000000002E-2</v>
      </c>
      <c r="M105">
        <v>1.3989254999999999E-4</v>
      </c>
      <c r="N105">
        <v>-1.4795708999999999</v>
      </c>
      <c r="O105">
        <v>3.8623968E-3</v>
      </c>
      <c r="P105" s="1">
        <v>2.0183671000000002E-8</v>
      </c>
      <c r="Q105" s="1">
        <v>1.4423738999999999E-10</v>
      </c>
      <c r="R105">
        <v>1.0963956E-3</v>
      </c>
      <c r="S105" s="1">
        <v>1.9516509999999999E-5</v>
      </c>
    </row>
    <row r="106" spans="1:19" x14ac:dyDescent="0.2">
      <c r="A106" t="s">
        <v>228</v>
      </c>
      <c r="B106">
        <v>3.5217000000000001</v>
      </c>
      <c r="C106" t="s">
        <v>229</v>
      </c>
      <c r="D106" s="1">
        <v>726001890</v>
      </c>
      <c r="E106">
        <v>5787.9867999999997</v>
      </c>
      <c r="F106">
        <v>0.20017857</v>
      </c>
      <c r="G106">
        <v>2.0579578999999999E-3</v>
      </c>
      <c r="H106" s="1">
        <v>1.0132673999999999E-5</v>
      </c>
      <c r="I106" s="1">
        <v>3.4683535999999999E-8</v>
      </c>
      <c r="J106" s="1">
        <v>1.0008443E-5</v>
      </c>
      <c r="K106" s="1">
        <v>4.0946884E-7</v>
      </c>
      <c r="L106">
        <v>2.4675602000000001E-2</v>
      </c>
      <c r="M106">
        <v>1.4374443E-4</v>
      </c>
      <c r="N106">
        <v>-1.489104</v>
      </c>
      <c r="O106">
        <v>3.9120717000000003E-3</v>
      </c>
      <c r="P106" s="1">
        <v>2.0239435E-8</v>
      </c>
      <c r="Q106" s="1">
        <v>1.4656392999999999E-10</v>
      </c>
      <c r="R106">
        <v>1.2020454E-3</v>
      </c>
      <c r="S106" s="1">
        <v>2.0011443000000001E-5</v>
      </c>
    </row>
    <row r="107" spans="1:19" x14ac:dyDescent="0.2">
      <c r="A107" t="s">
        <v>230</v>
      </c>
      <c r="B107">
        <v>3.5217000000000001</v>
      </c>
      <c r="C107" t="s">
        <v>231</v>
      </c>
      <c r="D107" s="1">
        <v>725757710</v>
      </c>
      <c r="E107">
        <v>6155.9834000000001</v>
      </c>
      <c r="F107">
        <v>0.19336128999999999</v>
      </c>
      <c r="G107">
        <v>2.0587805999999998E-3</v>
      </c>
      <c r="H107" s="1">
        <v>1.0044121E-5</v>
      </c>
      <c r="I107" s="1">
        <v>3.5493063999999999E-8</v>
      </c>
      <c r="J107" s="1">
        <v>9.0740269000000005E-6</v>
      </c>
      <c r="K107" s="1">
        <v>4.3514655999999999E-7</v>
      </c>
      <c r="L107">
        <v>2.5023938999999999E-2</v>
      </c>
      <c r="M107">
        <v>1.0040545E-4</v>
      </c>
      <c r="N107">
        <v>-1.4535103</v>
      </c>
      <c r="O107">
        <v>3.9802426000000004E-3</v>
      </c>
      <c r="P107" s="1">
        <v>1.9789727E-8</v>
      </c>
      <c r="Q107" t="s">
        <v>187</v>
      </c>
      <c r="R107">
        <v>1.0405415E-3</v>
      </c>
      <c r="S107" s="1">
        <v>2.0404971999999999E-5</v>
      </c>
    </row>
    <row r="108" spans="1:19" x14ac:dyDescent="0.2">
      <c r="A108" t="s">
        <v>232</v>
      </c>
      <c r="B108">
        <v>3.5217000000000001</v>
      </c>
      <c r="C108" t="s">
        <v>233</v>
      </c>
      <c r="D108" s="1">
        <v>726214610</v>
      </c>
      <c r="E108">
        <v>5690.8440000000001</v>
      </c>
      <c r="F108">
        <v>0.2000487</v>
      </c>
      <c r="G108">
        <v>2.0576012000000001E-3</v>
      </c>
      <c r="H108" s="1">
        <v>1.0144256E-5</v>
      </c>
      <c r="I108" s="1">
        <v>3.5202628999999999E-8</v>
      </c>
      <c r="J108" s="1">
        <v>1.1258513E-5</v>
      </c>
      <c r="K108" s="1">
        <v>3.9676060000000002E-7</v>
      </c>
      <c r="L108">
        <v>2.4451758000000001E-2</v>
      </c>
      <c r="M108">
        <v>1.4312074E-4</v>
      </c>
      <c r="N108">
        <v>-1.4957663999999999</v>
      </c>
      <c r="O108">
        <v>3.9310368999999996E-3</v>
      </c>
      <c r="P108" s="1">
        <v>2.0304956999999998E-8</v>
      </c>
      <c r="Q108" s="1">
        <v>1.4781134E-10</v>
      </c>
      <c r="R108">
        <v>1.2397413E-3</v>
      </c>
      <c r="S108" s="1">
        <v>1.9960575000000002E-5</v>
      </c>
    </row>
    <row r="109" spans="1:19" x14ac:dyDescent="0.2">
      <c r="A109" t="s">
        <v>234</v>
      </c>
      <c r="B109">
        <v>3.5217000000000001</v>
      </c>
      <c r="C109" t="s">
        <v>235</v>
      </c>
      <c r="D109" s="1">
        <v>726166540</v>
      </c>
      <c r="E109">
        <v>6017.2959000000001</v>
      </c>
      <c r="F109">
        <v>0.19212486000000001</v>
      </c>
      <c r="G109">
        <v>2.0252130000000001E-3</v>
      </c>
      <c r="H109" s="1">
        <v>1.0046365E-5</v>
      </c>
      <c r="I109" s="1">
        <v>3.4897110999999997E-8</v>
      </c>
      <c r="J109" s="1">
        <v>8.4827010000000004E-6</v>
      </c>
      <c r="K109" s="1">
        <v>4.3703838E-7</v>
      </c>
      <c r="L109">
        <v>2.5125096999999999E-2</v>
      </c>
      <c r="M109">
        <v>1.4504407999999999E-4</v>
      </c>
      <c r="N109">
        <v>-1.4893166</v>
      </c>
      <c r="O109">
        <v>3.8763242000000001E-3</v>
      </c>
      <c r="P109" s="1">
        <v>1.9906483999999998E-8</v>
      </c>
      <c r="Q109" s="1">
        <v>1.4251283999999999E-10</v>
      </c>
      <c r="R109">
        <v>1.1411517E-3</v>
      </c>
      <c r="S109" s="1">
        <v>2.0046487999999999E-5</v>
      </c>
    </row>
    <row r="110" spans="1:19" x14ac:dyDescent="0.2">
      <c r="A110" t="s">
        <v>236</v>
      </c>
      <c r="B110">
        <v>3.5217000000000001</v>
      </c>
      <c r="C110" t="s">
        <v>237</v>
      </c>
      <c r="D110" s="1">
        <v>726208880</v>
      </c>
      <c r="E110">
        <v>5987.1660000000002</v>
      </c>
      <c r="F110">
        <v>0.20204625000000001</v>
      </c>
      <c r="G110">
        <v>2.1077632E-3</v>
      </c>
      <c r="H110" s="1">
        <v>1.016386E-5</v>
      </c>
      <c r="I110" s="1">
        <v>3.5605679999999999E-8</v>
      </c>
      <c r="J110" s="1">
        <v>1.0975973000000001E-5</v>
      </c>
      <c r="K110" s="1">
        <v>4.0506183000000002E-7</v>
      </c>
      <c r="L110">
        <v>2.5005514999999999E-2</v>
      </c>
      <c r="M110">
        <v>1.4850842E-4</v>
      </c>
      <c r="N110">
        <v>-1.4846086999999999</v>
      </c>
      <c r="O110">
        <v>3.9882885999999998E-3</v>
      </c>
      <c r="P110" s="1">
        <v>1.9909558999999999E-8</v>
      </c>
      <c r="Q110" s="1">
        <v>1.4664494000000001E-10</v>
      </c>
      <c r="R110">
        <v>1.5450778E-3</v>
      </c>
      <c r="S110" s="1">
        <v>2.0364111E-5</v>
      </c>
    </row>
    <row r="111" spans="1:19" x14ac:dyDescent="0.2">
      <c r="A111" t="s">
        <v>238</v>
      </c>
      <c r="B111">
        <v>3.5217000000000001</v>
      </c>
      <c r="C111" t="s">
        <v>239</v>
      </c>
      <c r="D111" s="1">
        <v>726251900</v>
      </c>
      <c r="E111">
        <v>5998.2385999999997</v>
      </c>
      <c r="F111">
        <v>0.20479801</v>
      </c>
      <c r="G111">
        <v>2.1322513E-3</v>
      </c>
      <c r="H111" s="1">
        <v>1.0232612E-5</v>
      </c>
      <c r="I111" s="1">
        <v>3.5626933E-8</v>
      </c>
      <c r="J111" s="1">
        <v>1.1056492E-5</v>
      </c>
      <c r="K111" s="1">
        <v>4.0246084E-7</v>
      </c>
      <c r="L111">
        <v>2.4763891999999999E-2</v>
      </c>
      <c r="M111">
        <v>1.4742999999999999E-4</v>
      </c>
      <c r="N111">
        <v>-1.4915924</v>
      </c>
      <c r="O111">
        <v>3.9982293000000004E-3</v>
      </c>
      <c r="P111" s="1">
        <v>2.0147548000000001E-8</v>
      </c>
      <c r="Q111" s="1">
        <v>1.4901197999999999E-10</v>
      </c>
      <c r="R111">
        <v>1.1886526999999999E-3</v>
      </c>
      <c r="S111" s="1">
        <v>2.0314189999999999E-5</v>
      </c>
    </row>
    <row r="112" spans="1:19" x14ac:dyDescent="0.2">
      <c r="A112" t="s">
        <v>240</v>
      </c>
      <c r="B112">
        <v>3.5217000000000001</v>
      </c>
      <c r="C112" t="s">
        <v>241</v>
      </c>
      <c r="D112" s="1">
        <v>726160330</v>
      </c>
      <c r="E112">
        <v>5836.5479999999998</v>
      </c>
      <c r="F112">
        <v>0.19607763</v>
      </c>
      <c r="G112">
        <v>2.0536892000000001E-3</v>
      </c>
      <c r="H112" s="1">
        <v>1.0081603999999999E-5</v>
      </c>
      <c r="I112" s="1">
        <v>3.5039920000000002E-8</v>
      </c>
      <c r="J112" s="1">
        <v>9.3607876999999992E-6</v>
      </c>
      <c r="K112" s="1">
        <v>4.2462142000000002E-7</v>
      </c>
      <c r="L112">
        <v>2.4745085E-2</v>
      </c>
      <c r="M112">
        <v>1.4467730999999999E-4</v>
      </c>
      <c r="N112">
        <v>-1.478485</v>
      </c>
      <c r="O112">
        <v>3.9274953999999997E-3</v>
      </c>
      <c r="P112" s="1">
        <v>2.0195794999999999E-8</v>
      </c>
      <c r="Q112" s="1">
        <v>1.4675493999999999E-10</v>
      </c>
      <c r="R112">
        <v>1.0449331000000001E-3</v>
      </c>
      <c r="S112" s="1">
        <v>2.0181003E-5</v>
      </c>
    </row>
    <row r="113" spans="1:19" x14ac:dyDescent="0.2">
      <c r="A113" t="s">
        <v>242</v>
      </c>
      <c r="B113">
        <v>3.5217000000000001</v>
      </c>
      <c r="C113" t="s">
        <v>243</v>
      </c>
      <c r="D113" s="1">
        <v>726510030</v>
      </c>
      <c r="E113">
        <v>6003.9170999999997</v>
      </c>
      <c r="F113">
        <v>0.19491158</v>
      </c>
      <c r="G113">
        <v>2.0230386000000002E-3</v>
      </c>
      <c r="H113" s="1">
        <v>1.0102682E-5</v>
      </c>
      <c r="I113" s="1">
        <v>3.5433594999999998E-8</v>
      </c>
      <c r="J113" s="1">
        <v>1.1123151E-5</v>
      </c>
      <c r="K113" s="1">
        <v>4.0235810999999998E-7</v>
      </c>
      <c r="L113">
        <v>2.4235811999999999E-2</v>
      </c>
      <c r="M113">
        <v>1.4212997999999999E-4</v>
      </c>
      <c r="N113">
        <v>-1.5106027</v>
      </c>
      <c r="O113">
        <v>3.9380500000000002E-3</v>
      </c>
      <c r="P113" s="1">
        <v>2.0197062999999999E-8</v>
      </c>
      <c r="Q113" s="1">
        <v>1.4719186999999999E-10</v>
      </c>
      <c r="R113">
        <v>1.2357425999999999E-3</v>
      </c>
      <c r="S113" s="1">
        <v>1.9793790999999999E-5</v>
      </c>
    </row>
    <row r="114" spans="1:19" x14ac:dyDescent="0.2">
      <c r="A114" t="s">
        <v>244</v>
      </c>
      <c r="B114">
        <v>3.5217000000000001</v>
      </c>
      <c r="C114" t="s">
        <v>245</v>
      </c>
      <c r="D114" s="1">
        <v>726177430</v>
      </c>
      <c r="E114">
        <v>5875.8849</v>
      </c>
      <c r="F114">
        <v>0.19650925999999999</v>
      </c>
      <c r="G114">
        <v>1.9777636999999998E-3</v>
      </c>
      <c r="H114" s="1">
        <v>1.0113571999999999E-5</v>
      </c>
      <c r="I114" s="1">
        <v>3.3945545999999999E-8</v>
      </c>
      <c r="J114" s="1">
        <v>9.9851951000000001E-6</v>
      </c>
      <c r="K114" s="1">
        <v>4.0127772999999998E-7</v>
      </c>
      <c r="L114">
        <v>2.4822197000000001E-2</v>
      </c>
      <c r="M114" s="1">
        <v>9.5210788E-5</v>
      </c>
      <c r="N114">
        <v>-1.4757948000000001</v>
      </c>
      <c r="O114">
        <v>3.8047161000000001E-3</v>
      </c>
      <c r="P114" s="1">
        <v>1.9876216000000001E-8</v>
      </c>
      <c r="Q114" t="s">
        <v>187</v>
      </c>
      <c r="R114">
        <v>1.3142347999999999E-3</v>
      </c>
      <c r="S114" s="1">
        <v>1.9322719999999999E-5</v>
      </c>
    </row>
    <row r="115" spans="1:19" x14ac:dyDescent="0.2">
      <c r="A115" t="s">
        <v>246</v>
      </c>
      <c r="B115">
        <v>3.5217000000000001</v>
      </c>
      <c r="C115" t="s">
        <v>247</v>
      </c>
      <c r="D115" s="1">
        <v>726202880</v>
      </c>
      <c r="E115">
        <v>5641.8684000000003</v>
      </c>
      <c r="F115">
        <v>0.19735912999999999</v>
      </c>
      <c r="G115">
        <v>2.0279582999999999E-3</v>
      </c>
      <c r="H115" s="1">
        <v>1.0096566E-5</v>
      </c>
      <c r="I115" s="1">
        <v>3.4809182000000003E-8</v>
      </c>
      <c r="J115" s="1">
        <v>1.0451266E-5</v>
      </c>
      <c r="K115" s="1">
        <v>4.0526198999999998E-7</v>
      </c>
      <c r="L115">
        <v>2.4488124999999999E-2</v>
      </c>
      <c r="M115">
        <v>1.4233449999999999E-4</v>
      </c>
      <c r="N115">
        <v>-1.4754231</v>
      </c>
      <c r="O115">
        <v>3.9048891E-3</v>
      </c>
      <c r="P115" s="1">
        <v>2.0236542000000001E-8</v>
      </c>
      <c r="Q115" s="1">
        <v>1.4623531999999999E-10</v>
      </c>
      <c r="R115">
        <v>1.0255845999999999E-3</v>
      </c>
      <c r="S115" s="1">
        <v>1.9866688000000001E-5</v>
      </c>
    </row>
    <row r="116" spans="1:19" x14ac:dyDescent="0.2">
      <c r="A116" t="s">
        <v>248</v>
      </c>
      <c r="B116">
        <v>3.5217000000000001</v>
      </c>
      <c r="C116" t="s">
        <v>249</v>
      </c>
      <c r="D116" s="1">
        <v>726182060</v>
      </c>
      <c r="E116">
        <v>5831.4642999999996</v>
      </c>
      <c r="F116">
        <v>0.20344788</v>
      </c>
      <c r="G116">
        <v>2.0510881E-3</v>
      </c>
      <c r="H116" s="1">
        <v>1.0227586E-5</v>
      </c>
      <c r="I116" s="1">
        <v>3.4863821E-8</v>
      </c>
      <c r="J116" s="1">
        <v>1.1988615E-5</v>
      </c>
      <c r="K116" s="1">
        <v>3.8047287E-7</v>
      </c>
      <c r="L116">
        <v>2.4317155999999999E-2</v>
      </c>
      <c r="M116">
        <v>1.4238554000000001E-4</v>
      </c>
      <c r="N116">
        <v>-1.4685805000000001</v>
      </c>
      <c r="O116">
        <v>3.9336038000000002E-3</v>
      </c>
      <c r="P116" s="1">
        <v>2.0058098000000001E-8</v>
      </c>
      <c r="Q116" s="1">
        <v>1.4583202E-10</v>
      </c>
      <c r="R116">
        <v>1.1358491E-3</v>
      </c>
      <c r="S116" s="1">
        <v>1.9560454000000001E-5</v>
      </c>
    </row>
    <row r="117" spans="1:19" x14ac:dyDescent="0.2">
      <c r="A117" t="s">
        <v>250</v>
      </c>
      <c r="B117">
        <v>3.5217000000000001</v>
      </c>
      <c r="C117" t="s">
        <v>251</v>
      </c>
      <c r="D117" s="1">
        <v>726211880</v>
      </c>
      <c r="E117">
        <v>5985.9373999999998</v>
      </c>
      <c r="F117">
        <v>0.19185274999999999</v>
      </c>
      <c r="G117">
        <v>2.0506265E-3</v>
      </c>
      <c r="H117" s="1">
        <v>1.0007233E-5</v>
      </c>
      <c r="I117" s="1">
        <v>3.5632069000000003E-8</v>
      </c>
      <c r="J117" s="1">
        <v>9.1947434999999992E-6</v>
      </c>
      <c r="K117" s="1">
        <v>4.3617796999999997E-7</v>
      </c>
      <c r="L117">
        <v>2.4489488E-2</v>
      </c>
      <c r="M117">
        <v>1.4681359999999999E-4</v>
      </c>
      <c r="N117">
        <v>-1.4878511999999999</v>
      </c>
      <c r="O117">
        <v>4.0261389000000002E-3</v>
      </c>
      <c r="P117" s="1">
        <v>2.0049066000000001E-8</v>
      </c>
      <c r="Q117" s="1">
        <v>1.4921686999999999E-10</v>
      </c>
      <c r="R117">
        <v>8.9313912999999996E-4</v>
      </c>
      <c r="S117" s="1">
        <v>2.0464188E-5</v>
      </c>
    </row>
    <row r="118" spans="1:19" x14ac:dyDescent="0.2">
      <c r="A118" t="s">
        <v>252</v>
      </c>
      <c r="B118">
        <v>3.5217000000000001</v>
      </c>
      <c r="C118" t="s">
        <v>253</v>
      </c>
      <c r="D118" s="1">
        <v>725992750</v>
      </c>
      <c r="E118">
        <v>6085.0128999999997</v>
      </c>
      <c r="F118">
        <v>0.19260397000000001</v>
      </c>
      <c r="G118">
        <v>2.0402558000000002E-3</v>
      </c>
      <c r="H118" s="1">
        <v>1.0066557E-5</v>
      </c>
      <c r="I118" s="1">
        <v>3.5474049000000003E-8</v>
      </c>
      <c r="J118" s="1">
        <v>9.4414524999999994E-6</v>
      </c>
      <c r="K118" s="1">
        <v>4.2874096999999998E-7</v>
      </c>
      <c r="L118">
        <v>2.4515483000000001E-2</v>
      </c>
      <c r="M118" s="1">
        <v>9.8816446000000004E-5</v>
      </c>
      <c r="N118">
        <v>-1.4537032000000001</v>
      </c>
      <c r="O118">
        <v>3.9991675000000003E-3</v>
      </c>
      <c r="P118" s="1">
        <v>1.9883476E-8</v>
      </c>
      <c r="Q118" t="s">
        <v>187</v>
      </c>
      <c r="R118">
        <v>1.2805333E-3</v>
      </c>
      <c r="S118" s="1">
        <v>2.0127733000000001E-5</v>
      </c>
    </row>
    <row r="119" spans="1:19" x14ac:dyDescent="0.2">
      <c r="A119" t="s">
        <v>254</v>
      </c>
      <c r="B119">
        <v>3.5217000000000001</v>
      </c>
      <c r="C119" t="s">
        <v>255</v>
      </c>
      <c r="D119" s="1">
        <v>726086160</v>
      </c>
      <c r="E119">
        <v>5523.0137999999997</v>
      </c>
      <c r="F119">
        <v>0.20264304</v>
      </c>
      <c r="G119">
        <v>1.9942988000000001E-3</v>
      </c>
      <c r="H119" s="1">
        <v>1.0193337000000001E-5</v>
      </c>
      <c r="I119" s="1">
        <v>3.3775521E-8</v>
      </c>
      <c r="J119" s="1">
        <v>1.1398964E-5</v>
      </c>
      <c r="K119" s="1">
        <v>3.7761162999999999E-7</v>
      </c>
      <c r="L119">
        <v>2.4621178000000001E-2</v>
      </c>
      <c r="M119">
        <v>1.3984102000000001E-4</v>
      </c>
      <c r="N119">
        <v>-1.468348</v>
      </c>
      <c r="O119">
        <v>3.8150084000000001E-3</v>
      </c>
      <c r="P119" s="1">
        <v>1.9925015E-8</v>
      </c>
      <c r="Q119" s="1">
        <v>1.4037785999999999E-10</v>
      </c>
      <c r="R119">
        <v>1.2530066000000001E-3</v>
      </c>
      <c r="S119" s="1">
        <v>1.9151896000000001E-5</v>
      </c>
    </row>
    <row r="120" spans="1:19" x14ac:dyDescent="0.2">
      <c r="A120" t="s">
        <v>256</v>
      </c>
      <c r="B120">
        <v>3.5217000000000001</v>
      </c>
      <c r="C120" t="s">
        <v>257</v>
      </c>
      <c r="D120" s="1">
        <v>726102900</v>
      </c>
      <c r="E120">
        <v>5753.42</v>
      </c>
      <c r="F120">
        <v>0.19872622000000001</v>
      </c>
      <c r="G120">
        <v>1.9786182999999998E-3</v>
      </c>
      <c r="H120" s="1">
        <v>1.0117655E-5</v>
      </c>
      <c r="I120" s="1">
        <v>3.4066188999999999E-8</v>
      </c>
      <c r="J120" s="1">
        <v>1.1249293999999999E-5</v>
      </c>
      <c r="K120" s="1">
        <v>3.8444662E-7</v>
      </c>
      <c r="L120">
        <v>2.4389676999999998E-2</v>
      </c>
      <c r="M120" s="1">
        <v>9.5351701000000007E-5</v>
      </c>
      <c r="N120">
        <v>-1.4678466999999999</v>
      </c>
      <c r="O120">
        <v>3.8781557000000001E-3</v>
      </c>
      <c r="P120" s="1">
        <v>1.9835071000000001E-8</v>
      </c>
      <c r="Q120" t="s">
        <v>187</v>
      </c>
      <c r="R120">
        <v>1.2006054999999999E-3</v>
      </c>
      <c r="S120" s="1">
        <v>1.9314745999999999E-5</v>
      </c>
    </row>
    <row r="121" spans="1:19" x14ac:dyDescent="0.2">
      <c r="A121" t="s">
        <v>258</v>
      </c>
      <c r="B121">
        <v>3.5217000000000001</v>
      </c>
      <c r="C121" t="s">
        <v>259</v>
      </c>
      <c r="D121" s="1">
        <v>726111070</v>
      </c>
      <c r="E121">
        <v>5875.2269999999999</v>
      </c>
      <c r="F121">
        <v>0.20044223999999999</v>
      </c>
      <c r="G121">
        <v>2.0302826000000002E-3</v>
      </c>
      <c r="H121" s="1">
        <v>1.014558E-5</v>
      </c>
      <c r="I121" s="1">
        <v>3.4312293000000001E-8</v>
      </c>
      <c r="J121" s="1">
        <v>1.0307409E-5</v>
      </c>
      <c r="K121" s="1">
        <v>4.0017565000000002E-7</v>
      </c>
      <c r="L121">
        <v>2.4981651000000001E-2</v>
      </c>
      <c r="M121" s="1">
        <v>9.7724393999999999E-5</v>
      </c>
      <c r="N121">
        <v>-1.4649506999999999</v>
      </c>
      <c r="O121">
        <v>3.8805471999999999E-3</v>
      </c>
      <c r="P121" s="1">
        <v>1.9768806000000001E-8</v>
      </c>
      <c r="Q121" t="s">
        <v>187</v>
      </c>
      <c r="R121">
        <v>1.0736425E-3</v>
      </c>
      <c r="S121" s="1">
        <v>1.9705517999999999E-5</v>
      </c>
    </row>
    <row r="122" spans="1:19" x14ac:dyDescent="0.2">
      <c r="A122" t="s">
        <v>260</v>
      </c>
      <c r="B122">
        <v>3.5217000000000001</v>
      </c>
      <c r="C122" t="s">
        <v>261</v>
      </c>
      <c r="D122" s="1">
        <v>726472460</v>
      </c>
      <c r="E122">
        <v>5557.8154999999997</v>
      </c>
      <c r="F122">
        <v>0.19827560999999999</v>
      </c>
      <c r="G122">
        <v>2.0087542999999999E-3</v>
      </c>
      <c r="H122" s="1">
        <v>1.0134795E-5</v>
      </c>
      <c r="I122" s="1">
        <v>3.4687515999999997E-8</v>
      </c>
      <c r="J122" s="1">
        <v>1.1312556E-5</v>
      </c>
      <c r="K122" s="1">
        <v>3.9039427000000002E-7</v>
      </c>
      <c r="L122">
        <v>2.3832926000000001E-2</v>
      </c>
      <c r="M122">
        <v>1.3967252000000001E-4</v>
      </c>
      <c r="N122">
        <v>-1.4840355000000001</v>
      </c>
      <c r="O122">
        <v>3.9375924999999999E-3</v>
      </c>
      <c r="P122" s="1">
        <v>2.0341058999999999E-8</v>
      </c>
      <c r="Q122" s="1">
        <v>1.4831883999999999E-10</v>
      </c>
      <c r="R122">
        <v>1.1041103E-3</v>
      </c>
      <c r="S122" s="1">
        <v>1.9524463000000001E-5</v>
      </c>
    </row>
    <row r="123" spans="1:19" x14ac:dyDescent="0.2">
      <c r="A123" t="s">
        <v>262</v>
      </c>
      <c r="B123">
        <v>3.5217000000000001</v>
      </c>
      <c r="C123" t="s">
        <v>263</v>
      </c>
      <c r="D123" s="1">
        <v>726111570</v>
      </c>
      <c r="E123">
        <v>5926.366</v>
      </c>
      <c r="F123">
        <v>0.19712331999999999</v>
      </c>
      <c r="G123">
        <v>1.9378697000000001E-3</v>
      </c>
      <c r="H123" s="1">
        <v>1.0126519000000001E-5</v>
      </c>
      <c r="I123" s="1">
        <v>3.3293887000000001E-8</v>
      </c>
      <c r="J123" s="1">
        <v>1.0325739E-5</v>
      </c>
      <c r="K123" s="1">
        <v>3.8846818E-7</v>
      </c>
      <c r="L123">
        <v>2.4712891000000001E-2</v>
      </c>
      <c r="M123" s="1">
        <v>9.3531691999999996E-5</v>
      </c>
      <c r="N123">
        <v>-1.4564195</v>
      </c>
      <c r="O123">
        <v>3.7549494999999998E-3</v>
      </c>
      <c r="P123" s="1">
        <v>1.9764251000000001E-8</v>
      </c>
      <c r="Q123" t="s">
        <v>187</v>
      </c>
      <c r="R123">
        <v>1.0603093000000001E-3</v>
      </c>
      <c r="S123" s="1">
        <v>1.8882379999999999E-5</v>
      </c>
    </row>
    <row r="124" spans="1:19" x14ac:dyDescent="0.2">
      <c r="A124" t="s">
        <v>264</v>
      </c>
      <c r="B124">
        <v>3.5217000000000001</v>
      </c>
      <c r="C124" t="s">
        <v>265</v>
      </c>
      <c r="D124" s="1">
        <v>726349890</v>
      </c>
      <c r="E124">
        <v>6111.5378000000001</v>
      </c>
      <c r="F124">
        <v>0.19506254000000001</v>
      </c>
      <c r="G124">
        <v>2.0096290999999998E-3</v>
      </c>
      <c r="H124" s="1">
        <v>1.011593E-5</v>
      </c>
      <c r="I124" s="1">
        <v>3.4838271999999998E-8</v>
      </c>
      <c r="J124" s="1">
        <v>1.0253073E-5</v>
      </c>
      <c r="K124" s="1">
        <v>4.0808177E-7</v>
      </c>
      <c r="L124">
        <v>2.416167E-2</v>
      </c>
      <c r="M124">
        <v>1.4255927000000001E-4</v>
      </c>
      <c r="N124">
        <v>-1.4823086000000001</v>
      </c>
      <c r="O124">
        <v>3.9628056E-3</v>
      </c>
      <c r="P124" s="1">
        <v>1.9901976000000001E-8</v>
      </c>
      <c r="Q124" s="1">
        <v>1.4563172E-10</v>
      </c>
      <c r="R124">
        <v>1.0381616000000001E-3</v>
      </c>
      <c r="S124" s="1">
        <v>1.9608019000000001E-5</v>
      </c>
    </row>
    <row r="125" spans="1:19" x14ac:dyDescent="0.2">
      <c r="A125" t="s">
        <v>266</v>
      </c>
      <c r="B125">
        <v>3.5217000000000001</v>
      </c>
      <c r="C125" t="s">
        <v>267</v>
      </c>
      <c r="D125" s="1">
        <v>726227330</v>
      </c>
      <c r="E125">
        <v>5823.8953000000001</v>
      </c>
      <c r="F125">
        <v>0.19983915999999999</v>
      </c>
      <c r="G125">
        <v>2.0345390000000001E-3</v>
      </c>
      <c r="H125" s="1">
        <v>1.0089094999999999E-5</v>
      </c>
      <c r="I125" s="1">
        <v>3.4532469000000002E-8</v>
      </c>
      <c r="J125" s="1">
        <v>1.057908E-5</v>
      </c>
      <c r="K125" s="1">
        <v>4.0034494000000002E-7</v>
      </c>
      <c r="L125">
        <v>2.4072724E-2</v>
      </c>
      <c r="M125">
        <v>1.4237694999999999E-4</v>
      </c>
      <c r="N125">
        <v>-1.4768623000000001</v>
      </c>
      <c r="O125">
        <v>3.9737208999999999E-3</v>
      </c>
      <c r="P125" s="1">
        <v>2.0337984000000001E-8</v>
      </c>
      <c r="Q125" s="1">
        <v>1.4965733999999999E-10</v>
      </c>
      <c r="R125">
        <v>9.9218929999999998E-4</v>
      </c>
      <c r="S125" s="1">
        <v>1.9962151999999999E-5</v>
      </c>
    </row>
    <row r="126" spans="1:19" x14ac:dyDescent="0.2">
      <c r="A126" t="s">
        <v>268</v>
      </c>
      <c r="B126">
        <v>3.5217000000000001</v>
      </c>
      <c r="C126" t="s">
        <v>269</v>
      </c>
      <c r="D126" s="1">
        <v>726418370</v>
      </c>
      <c r="E126">
        <v>5609.0186999999996</v>
      </c>
      <c r="F126">
        <v>0.20066854000000001</v>
      </c>
      <c r="G126">
        <v>2.0301869000000001E-3</v>
      </c>
      <c r="H126" s="1">
        <v>1.0171490999999999E-5</v>
      </c>
      <c r="I126" s="1">
        <v>3.4502586000000002E-8</v>
      </c>
      <c r="J126" s="1">
        <v>1.0887509E-5</v>
      </c>
      <c r="K126" s="1">
        <v>3.9361285999999999E-7</v>
      </c>
      <c r="L126">
        <v>2.4549056E-2</v>
      </c>
      <c r="M126">
        <v>1.4231773E-4</v>
      </c>
      <c r="N126">
        <v>-1.4942694000000001</v>
      </c>
      <c r="O126">
        <v>3.8932593000000001E-3</v>
      </c>
      <c r="P126" s="1">
        <v>2.0010830999999999E-8</v>
      </c>
      <c r="Q126" s="1">
        <v>1.4397934000000001E-10</v>
      </c>
      <c r="R126">
        <v>1.3370172000000001E-3</v>
      </c>
      <c r="S126" s="1">
        <v>1.9584254999999998E-5</v>
      </c>
    </row>
    <row r="127" spans="1:19" x14ac:dyDescent="0.2">
      <c r="A127" t="s">
        <v>270</v>
      </c>
      <c r="B127">
        <v>3.5217000000000001</v>
      </c>
      <c r="C127" t="s">
        <v>271</v>
      </c>
      <c r="D127" s="1">
        <v>726311930</v>
      </c>
      <c r="E127">
        <v>5986.2882</v>
      </c>
      <c r="F127">
        <v>0.19666631000000001</v>
      </c>
      <c r="G127">
        <v>1.9984416999999999E-3</v>
      </c>
      <c r="H127" s="1">
        <v>1.0096217E-5</v>
      </c>
      <c r="I127" s="1">
        <v>3.4297719999999997E-8</v>
      </c>
      <c r="J127" s="1">
        <v>1.0086124000000001E-5</v>
      </c>
      <c r="K127" s="1">
        <v>4.0437474999999999E-7</v>
      </c>
      <c r="L127">
        <v>2.4655494999999999E-2</v>
      </c>
      <c r="M127" s="1">
        <v>9.6974121999999997E-5</v>
      </c>
      <c r="N127">
        <v>-1.4710744</v>
      </c>
      <c r="O127">
        <v>3.9017411999999999E-3</v>
      </c>
      <c r="P127" s="1">
        <v>1.9735860000000001E-8</v>
      </c>
      <c r="Q127" t="s">
        <v>187</v>
      </c>
      <c r="R127">
        <v>1.1181055000000001E-3</v>
      </c>
      <c r="S127" s="1">
        <v>1.9594501999999999E-5</v>
      </c>
    </row>
    <row r="128" spans="1:19" x14ac:dyDescent="0.2">
      <c r="A128" t="s">
        <v>272</v>
      </c>
      <c r="B128">
        <v>3.5217000000000001</v>
      </c>
      <c r="C128" t="s">
        <v>273</v>
      </c>
      <c r="D128" s="1">
        <v>726330160</v>
      </c>
      <c r="E128">
        <v>5908.1844000000001</v>
      </c>
      <c r="F128">
        <v>0.19753228</v>
      </c>
      <c r="G128">
        <v>2.0214270000000001E-3</v>
      </c>
      <c r="H128" s="1">
        <v>1.0157116E-5</v>
      </c>
      <c r="I128" s="1">
        <v>3.4747082E-8</v>
      </c>
      <c r="J128" s="1">
        <v>1.0531826000000001E-5</v>
      </c>
      <c r="K128" s="1">
        <v>4.0194391999999999E-7</v>
      </c>
      <c r="L128">
        <v>2.4219843000000001E-2</v>
      </c>
      <c r="M128">
        <v>1.4172001999999999E-4</v>
      </c>
      <c r="N128">
        <v>-1.4713773999999999</v>
      </c>
      <c r="O128">
        <v>3.9311844E-3</v>
      </c>
      <c r="P128" s="1">
        <v>2.0051478999999999E-8</v>
      </c>
      <c r="Q128" s="1">
        <v>1.4568254999999999E-10</v>
      </c>
      <c r="R128">
        <v>1.3418402E-3</v>
      </c>
      <c r="S128" s="1">
        <v>1.9557080000000001E-5</v>
      </c>
    </row>
    <row r="129" spans="1:19" x14ac:dyDescent="0.2">
      <c r="A129" t="s">
        <v>274</v>
      </c>
      <c r="B129">
        <v>3.5217000000000001</v>
      </c>
      <c r="C129" t="s">
        <v>275</v>
      </c>
      <c r="D129" s="1">
        <v>726539660</v>
      </c>
      <c r="E129">
        <v>5848.4956000000002</v>
      </c>
      <c r="F129">
        <v>0.19522022999999999</v>
      </c>
      <c r="G129">
        <v>1.9986836E-3</v>
      </c>
      <c r="H129" s="1">
        <v>1.0102333999999999E-5</v>
      </c>
      <c r="I129" s="1">
        <v>3.4408245000000001E-8</v>
      </c>
      <c r="J129" s="1">
        <v>9.7286204999999997E-6</v>
      </c>
      <c r="K129" s="1">
        <v>4.1103816E-7</v>
      </c>
      <c r="L129">
        <v>2.4133411E-2</v>
      </c>
      <c r="M129">
        <v>1.4015834999999999E-4</v>
      </c>
      <c r="N129">
        <v>-1.5102739999999999</v>
      </c>
      <c r="O129">
        <v>3.9001420000000001E-3</v>
      </c>
      <c r="P129" s="1">
        <v>2.0245035999999999E-8</v>
      </c>
      <c r="Q129" s="1">
        <v>1.4616418E-10</v>
      </c>
      <c r="R129">
        <v>1.2249330999999999E-3</v>
      </c>
      <c r="S129" s="1">
        <v>1.9556985000000002E-5</v>
      </c>
    </row>
    <row r="130" spans="1:19" x14ac:dyDescent="0.2">
      <c r="A130" t="s">
        <v>276</v>
      </c>
      <c r="B130">
        <v>3.5217000000000001</v>
      </c>
      <c r="C130" t="s">
        <v>277</v>
      </c>
      <c r="D130" s="1">
        <v>726275340</v>
      </c>
      <c r="E130">
        <v>6084.1045000000004</v>
      </c>
      <c r="F130">
        <v>0.19885278000000001</v>
      </c>
      <c r="G130">
        <v>2.0420105000000001E-3</v>
      </c>
      <c r="H130" s="1">
        <v>1.0150294E-5</v>
      </c>
      <c r="I130" s="1">
        <v>3.5001446E-8</v>
      </c>
      <c r="J130" s="1">
        <v>1.0844198999999999E-5</v>
      </c>
      <c r="K130" s="1">
        <v>4.0017681E-7</v>
      </c>
      <c r="L130">
        <v>2.4576969000000001E-2</v>
      </c>
      <c r="M130" s="1">
        <v>9.8388616999999995E-5</v>
      </c>
      <c r="N130">
        <v>-1.4682348999999999</v>
      </c>
      <c r="O130">
        <v>3.9713572000000001E-3</v>
      </c>
      <c r="P130" s="1">
        <v>1.9727081000000001E-8</v>
      </c>
      <c r="Q130" t="s">
        <v>187</v>
      </c>
      <c r="R130">
        <v>9.9033820999999992E-4</v>
      </c>
      <c r="S130" s="1">
        <v>1.9800126000000002E-5</v>
      </c>
    </row>
    <row r="131" spans="1:19" x14ac:dyDescent="0.2">
      <c r="A131" t="s">
        <v>278</v>
      </c>
      <c r="B131">
        <v>3.5217000000000001</v>
      </c>
      <c r="C131" t="s">
        <v>279</v>
      </c>
      <c r="D131" s="1">
        <v>726154100</v>
      </c>
      <c r="E131">
        <v>6469.5236999999997</v>
      </c>
      <c r="F131">
        <v>0.18732455000000001</v>
      </c>
      <c r="G131">
        <v>2.0660067999999998E-3</v>
      </c>
      <c r="H131" s="1">
        <v>9.9786936000000004E-6</v>
      </c>
      <c r="I131" s="1">
        <v>3.6369909999999999E-8</v>
      </c>
      <c r="J131" s="1">
        <v>8.2216230000000006E-6</v>
      </c>
      <c r="K131" s="1">
        <v>4.6106630999999999E-7</v>
      </c>
      <c r="L131">
        <v>2.4666265999999999E-2</v>
      </c>
      <c r="M131">
        <v>1.0295752000000001E-4</v>
      </c>
      <c r="N131">
        <v>-1.4625783999999999</v>
      </c>
      <c r="O131">
        <v>4.1404546999999998E-3</v>
      </c>
      <c r="P131" s="1">
        <v>1.9479514E-8</v>
      </c>
      <c r="Q131" t="s">
        <v>187</v>
      </c>
      <c r="R131">
        <v>1.1701216000000001E-3</v>
      </c>
      <c r="S131" s="1">
        <v>2.0757022000000002E-5</v>
      </c>
    </row>
    <row r="132" spans="1:19" x14ac:dyDescent="0.2">
      <c r="A132" t="s">
        <v>280</v>
      </c>
      <c r="B132">
        <v>3.5217000000000001</v>
      </c>
      <c r="C132" t="s">
        <v>281</v>
      </c>
      <c r="D132" s="1">
        <v>726202980</v>
      </c>
      <c r="E132">
        <v>5374.0187999999998</v>
      </c>
      <c r="F132">
        <v>0.19991518999999999</v>
      </c>
      <c r="G132">
        <v>1.875533E-3</v>
      </c>
      <c r="H132" s="1">
        <v>1.0150512E-5</v>
      </c>
      <c r="I132" s="1">
        <v>3.1933521000000003E-8</v>
      </c>
      <c r="J132" s="1">
        <v>1.0762738999999999E-5</v>
      </c>
      <c r="K132" s="1">
        <v>3.6642474000000001E-7</v>
      </c>
      <c r="L132">
        <v>2.4244529000000001E-2</v>
      </c>
      <c r="M132">
        <v>1.3075616999999999E-4</v>
      </c>
      <c r="N132">
        <v>-1.4716898</v>
      </c>
      <c r="O132">
        <v>3.6234575999999998E-3</v>
      </c>
      <c r="P132" s="1">
        <v>2.0217598E-8</v>
      </c>
      <c r="Q132" s="1">
        <v>1.3554662999999999E-10</v>
      </c>
      <c r="R132">
        <v>1.2567213E-3</v>
      </c>
      <c r="S132" s="1">
        <v>1.8170537999999999E-5</v>
      </c>
    </row>
    <row r="133" spans="1:19" x14ac:dyDescent="0.2">
      <c r="A133" t="s">
        <v>282</v>
      </c>
      <c r="B133">
        <v>3.5217000000000001</v>
      </c>
      <c r="C133" t="s">
        <v>283</v>
      </c>
      <c r="D133" s="1">
        <v>726338210</v>
      </c>
      <c r="E133">
        <v>6269.5627999999997</v>
      </c>
      <c r="F133">
        <v>0.18803618999999999</v>
      </c>
      <c r="G133">
        <v>1.9517302999999999E-3</v>
      </c>
      <c r="H133" s="1">
        <v>1.000106E-5</v>
      </c>
      <c r="I133" s="1">
        <v>3.513717E-8</v>
      </c>
      <c r="J133" s="1">
        <v>1.0550397E-5</v>
      </c>
      <c r="K133" s="1">
        <v>4.0963171000000001E-7</v>
      </c>
      <c r="L133">
        <v>2.3793846E-2</v>
      </c>
      <c r="M133" s="1">
        <v>9.6735326E-5</v>
      </c>
      <c r="N133">
        <v>-1.4775478</v>
      </c>
      <c r="O133">
        <v>4.032445E-3</v>
      </c>
      <c r="P133" s="1">
        <v>1.9538274000000001E-8</v>
      </c>
      <c r="Q133" t="s">
        <v>187</v>
      </c>
      <c r="R133">
        <v>9.0382951999999996E-4</v>
      </c>
      <c r="S133" s="1">
        <v>1.9517659999999998E-5</v>
      </c>
    </row>
    <row r="134" spans="1:19" x14ac:dyDescent="0.2">
      <c r="A134" t="s">
        <v>284</v>
      </c>
      <c r="B134">
        <v>3.5217000000000001</v>
      </c>
      <c r="C134" t="s">
        <v>285</v>
      </c>
      <c r="D134" s="1">
        <v>726416840</v>
      </c>
      <c r="E134">
        <v>5580.6687000000002</v>
      </c>
      <c r="F134">
        <v>0.19368294</v>
      </c>
      <c r="G134">
        <v>1.9961445999999998E-3</v>
      </c>
      <c r="H134" s="1">
        <v>1.0051473E-5</v>
      </c>
      <c r="I134" s="1">
        <v>3.4688298999999999E-8</v>
      </c>
      <c r="J134" s="1">
        <v>9.9677734000000006E-6</v>
      </c>
      <c r="K134" s="1">
        <v>4.1205238999999997E-7</v>
      </c>
      <c r="L134">
        <v>2.4167148999999999E-2</v>
      </c>
      <c r="M134">
        <v>1.418604E-4</v>
      </c>
      <c r="N134">
        <v>-1.4828808</v>
      </c>
      <c r="O134">
        <v>3.9431822E-3</v>
      </c>
      <c r="P134" s="1">
        <v>2.0077788000000001E-8</v>
      </c>
      <c r="Q134" s="1">
        <v>1.4635801999999999E-10</v>
      </c>
      <c r="R134">
        <v>1.1057185000000001E-3</v>
      </c>
      <c r="S134" s="1">
        <v>1.9738022999999999E-5</v>
      </c>
    </row>
    <row r="135" spans="1:19" x14ac:dyDescent="0.2">
      <c r="A135" t="s">
        <v>286</v>
      </c>
      <c r="B135">
        <v>3.5217000000000001</v>
      </c>
      <c r="C135" t="s">
        <v>287</v>
      </c>
      <c r="D135" s="1">
        <v>726322400</v>
      </c>
      <c r="E135">
        <v>6170.7300999999998</v>
      </c>
      <c r="F135">
        <v>0.19616454999999999</v>
      </c>
      <c r="G135">
        <v>2.0286460999999999E-3</v>
      </c>
      <c r="H135" s="1">
        <v>1.0086899000000001E-5</v>
      </c>
      <c r="I135" s="1">
        <v>3.5005148999999999E-8</v>
      </c>
      <c r="J135" s="1">
        <v>1.0361014E-5</v>
      </c>
      <c r="K135" s="1">
        <v>4.0885099999999999E-7</v>
      </c>
      <c r="L135">
        <v>2.4697209000000001E-2</v>
      </c>
      <c r="M135" s="1">
        <v>9.8605513000000005E-5</v>
      </c>
      <c r="N135">
        <v>-1.4753619</v>
      </c>
      <c r="O135">
        <v>3.9604311E-3</v>
      </c>
      <c r="P135" s="1">
        <v>1.9726686000000001E-8</v>
      </c>
      <c r="Q135" t="s">
        <v>187</v>
      </c>
      <c r="R135">
        <v>1.1199922000000001E-3</v>
      </c>
      <c r="S135" s="1">
        <v>1.9928943999999999E-5</v>
      </c>
    </row>
    <row r="136" spans="1:19" x14ac:dyDescent="0.2">
      <c r="A136" t="s">
        <v>288</v>
      </c>
      <c r="B136">
        <v>3.5217000000000001</v>
      </c>
      <c r="C136" t="s">
        <v>289</v>
      </c>
      <c r="D136" s="1">
        <v>726396930</v>
      </c>
      <c r="E136">
        <v>5986.34</v>
      </c>
      <c r="F136">
        <v>0.19206124999999999</v>
      </c>
      <c r="G136">
        <v>2.0095696999999999E-3</v>
      </c>
      <c r="H136" s="1">
        <v>1.0051325E-5</v>
      </c>
      <c r="I136" s="1">
        <v>3.4940912E-8</v>
      </c>
      <c r="J136" s="1">
        <v>9.2194716000000007E-6</v>
      </c>
      <c r="K136" s="1">
        <v>4.2600814000000002E-7</v>
      </c>
      <c r="L136">
        <v>2.4360811E-2</v>
      </c>
      <c r="M136" s="1">
        <v>9.8111167000000007E-5</v>
      </c>
      <c r="N136">
        <v>-1.4803797000000001</v>
      </c>
      <c r="O136">
        <v>3.9948882000000003E-3</v>
      </c>
      <c r="P136" s="1">
        <v>1.9738907999999999E-8</v>
      </c>
      <c r="Q136" t="s">
        <v>187</v>
      </c>
      <c r="R136">
        <v>1.1057227E-3</v>
      </c>
      <c r="S136" s="1">
        <v>1.9887460999999999E-5</v>
      </c>
    </row>
    <row r="137" spans="1:19" x14ac:dyDescent="0.2">
      <c r="A137" t="s">
        <v>290</v>
      </c>
      <c r="B137">
        <v>3.5217000000000001</v>
      </c>
      <c r="C137" t="s">
        <v>291</v>
      </c>
      <c r="D137" s="1">
        <v>726530380</v>
      </c>
      <c r="E137">
        <v>5877.5474000000004</v>
      </c>
      <c r="F137">
        <v>0.19564055</v>
      </c>
      <c r="G137">
        <v>1.9852331999999999E-3</v>
      </c>
      <c r="H137" s="1">
        <v>1.0115536E-5</v>
      </c>
      <c r="I137" s="1">
        <v>3.4326521000000003E-8</v>
      </c>
      <c r="J137" s="1">
        <v>1.0286392E-5</v>
      </c>
      <c r="K137" s="1">
        <v>4.0160565999999999E-7</v>
      </c>
      <c r="L137">
        <v>2.4409855000000001E-2</v>
      </c>
      <c r="M137">
        <v>1.4081593E-4</v>
      </c>
      <c r="N137">
        <v>-1.5112232999999999</v>
      </c>
      <c r="O137">
        <v>3.8729899000000002E-3</v>
      </c>
      <c r="P137" s="1">
        <v>1.9912085000000001E-8</v>
      </c>
      <c r="Q137" s="1">
        <v>1.4244958999999999E-10</v>
      </c>
      <c r="R137">
        <v>1.2172615E-3</v>
      </c>
      <c r="S137" s="1">
        <v>1.9371909000000001E-5</v>
      </c>
    </row>
    <row r="138" spans="1:19" x14ac:dyDescent="0.2">
      <c r="A138" t="s">
        <v>292</v>
      </c>
      <c r="B138">
        <v>3.5217000000000001</v>
      </c>
      <c r="C138" t="s">
        <v>293</v>
      </c>
      <c r="D138" s="1">
        <v>726583180</v>
      </c>
      <c r="E138">
        <v>5835.8407999999999</v>
      </c>
      <c r="F138">
        <v>0.19013659999999999</v>
      </c>
      <c r="G138">
        <v>1.9864894999999999E-3</v>
      </c>
      <c r="H138" s="1">
        <v>1.0022769E-5</v>
      </c>
      <c r="I138" s="1">
        <v>3.4733654999999998E-8</v>
      </c>
      <c r="J138" s="1">
        <v>8.9126127000000008E-6</v>
      </c>
      <c r="K138" s="1">
        <v>4.2904663E-7</v>
      </c>
      <c r="L138">
        <v>2.4346380000000001E-2</v>
      </c>
      <c r="M138">
        <v>1.4132891E-4</v>
      </c>
      <c r="N138">
        <v>-1.5053767</v>
      </c>
      <c r="O138">
        <v>3.8985557E-3</v>
      </c>
      <c r="P138" s="1">
        <v>2.0154854000000001E-8</v>
      </c>
      <c r="Q138" s="1">
        <v>1.4535771000000001E-10</v>
      </c>
      <c r="R138">
        <v>1.0066267000000001E-3</v>
      </c>
      <c r="S138" s="1">
        <v>1.9760437999999999E-5</v>
      </c>
    </row>
    <row r="139" spans="1:19" x14ac:dyDescent="0.2">
      <c r="A139" t="s">
        <v>294</v>
      </c>
      <c r="B139">
        <v>3.5217000000000001</v>
      </c>
      <c r="C139" t="s">
        <v>295</v>
      </c>
      <c r="D139" s="1">
        <v>726453950</v>
      </c>
      <c r="E139">
        <v>5877.9498999999996</v>
      </c>
      <c r="F139">
        <v>0.19316953000000001</v>
      </c>
      <c r="G139">
        <v>1.9665183000000001E-3</v>
      </c>
      <c r="H139" s="1">
        <v>1.0027048E-5</v>
      </c>
      <c r="I139" s="1">
        <v>3.4243287E-8</v>
      </c>
      <c r="J139" s="1">
        <v>9.9230884000000002E-6</v>
      </c>
      <c r="K139" s="1">
        <v>4.0772962000000001E-7</v>
      </c>
      <c r="L139">
        <v>2.4805094E-2</v>
      </c>
      <c r="M139" s="1">
        <v>9.6553008000000004E-5</v>
      </c>
      <c r="N139">
        <v>-1.4878539</v>
      </c>
      <c r="O139">
        <v>3.8606318000000001E-3</v>
      </c>
      <c r="P139" s="1">
        <v>1.9683021999999999E-8</v>
      </c>
      <c r="Q139" t="s">
        <v>187</v>
      </c>
      <c r="R139">
        <v>1.2403932999999999E-3</v>
      </c>
      <c r="S139" s="1">
        <v>1.9559671999999998E-5</v>
      </c>
    </row>
    <row r="140" spans="1:19" x14ac:dyDescent="0.2">
      <c r="A140" t="s">
        <v>296</v>
      </c>
      <c r="B140">
        <v>3.5217000000000001</v>
      </c>
      <c r="C140" t="s">
        <v>297</v>
      </c>
      <c r="D140" s="1">
        <v>726600700</v>
      </c>
      <c r="E140">
        <v>5830.8207000000002</v>
      </c>
      <c r="F140">
        <v>0.19307576000000001</v>
      </c>
      <c r="G140">
        <v>1.9661669E-3</v>
      </c>
      <c r="H140" s="1">
        <v>1.0053848999999999E-5</v>
      </c>
      <c r="I140" s="1">
        <v>3.4595887000000001E-8</v>
      </c>
      <c r="J140" s="1">
        <v>1.0755049E-5</v>
      </c>
      <c r="K140" s="1">
        <v>3.9908289E-7</v>
      </c>
      <c r="L140">
        <v>2.4103339000000001E-2</v>
      </c>
      <c r="M140" s="1">
        <v>9.5691800000000004E-5</v>
      </c>
      <c r="N140">
        <v>-1.5028455999999999</v>
      </c>
      <c r="O140">
        <v>3.9372356999999997E-3</v>
      </c>
      <c r="P140" s="1">
        <v>1.9810872E-8</v>
      </c>
      <c r="Q140" t="s">
        <v>187</v>
      </c>
      <c r="R140">
        <v>9.9142205000000007E-4</v>
      </c>
      <c r="S140" s="1">
        <v>1.944789E-5</v>
      </c>
    </row>
    <row r="141" spans="1:19" x14ac:dyDescent="0.2">
      <c r="A141" t="s">
        <v>298</v>
      </c>
      <c r="B141">
        <v>3.5217000000000001</v>
      </c>
      <c r="C141" t="s">
        <v>299</v>
      </c>
      <c r="D141" s="1">
        <v>726687500</v>
      </c>
      <c r="E141">
        <v>5858.8806000000004</v>
      </c>
      <c r="F141">
        <v>0.19477211</v>
      </c>
      <c r="G141">
        <v>2.0010121E-3</v>
      </c>
      <c r="H141" s="1">
        <v>1.0082936999999999E-5</v>
      </c>
      <c r="I141" s="1">
        <v>3.4643728000000002E-8</v>
      </c>
      <c r="J141" s="1">
        <v>1.0071104E-5</v>
      </c>
      <c r="K141" s="1">
        <v>4.0925145000000001E-7</v>
      </c>
      <c r="L141">
        <v>2.428696E-2</v>
      </c>
      <c r="M141">
        <v>1.4200635000000001E-4</v>
      </c>
      <c r="N141">
        <v>-1.5103829</v>
      </c>
      <c r="O141">
        <v>3.9262836000000002E-3</v>
      </c>
      <c r="P141" s="1">
        <v>2.0009536E-8</v>
      </c>
      <c r="Q141" s="1">
        <v>1.4519949E-10</v>
      </c>
      <c r="R141">
        <v>1.0774247E-3</v>
      </c>
      <c r="S141" s="1">
        <v>1.9657804000000001E-5</v>
      </c>
    </row>
    <row r="142" spans="1:19" x14ac:dyDescent="0.2">
      <c r="A142" t="s">
        <v>300</v>
      </c>
      <c r="B142">
        <v>3.5217000000000001</v>
      </c>
      <c r="C142" t="s">
        <v>301</v>
      </c>
      <c r="D142" s="1">
        <v>726325260</v>
      </c>
      <c r="E142">
        <v>5892.3343999999997</v>
      </c>
      <c r="F142">
        <v>0.19717910999999999</v>
      </c>
      <c r="G142">
        <v>1.9892172999999998E-3</v>
      </c>
      <c r="H142" s="1">
        <v>1.0099034000000001E-5</v>
      </c>
      <c r="I142" s="1">
        <v>3.4098344999999999E-8</v>
      </c>
      <c r="J142" s="1">
        <v>1.0247422E-5</v>
      </c>
      <c r="K142" s="1">
        <v>3.9989146000000002E-7</v>
      </c>
      <c r="L142">
        <v>2.4531219E-2</v>
      </c>
      <c r="M142">
        <v>1.4131281000000001E-4</v>
      </c>
      <c r="N142">
        <v>-1.4553049</v>
      </c>
      <c r="O142">
        <v>3.8709996000000002E-3</v>
      </c>
      <c r="P142" s="1">
        <v>1.9916230999999999E-8</v>
      </c>
      <c r="Q142" s="1">
        <v>1.4232795000000001E-10</v>
      </c>
      <c r="R142">
        <v>1.284012E-3</v>
      </c>
      <c r="S142" s="1">
        <v>1.9476273000000001E-5</v>
      </c>
    </row>
    <row r="143" spans="1:19" x14ac:dyDescent="0.2">
      <c r="A143" t="s">
        <v>302</v>
      </c>
      <c r="B143">
        <v>3.5217000000000001</v>
      </c>
      <c r="C143" t="s">
        <v>303</v>
      </c>
      <c r="D143" s="1">
        <v>726428350</v>
      </c>
      <c r="E143">
        <v>6274.8675999999996</v>
      </c>
      <c r="F143">
        <v>0.20271407</v>
      </c>
      <c r="G143">
        <v>2.0086218000000002E-3</v>
      </c>
      <c r="H143" s="1">
        <v>1.0194715E-5</v>
      </c>
      <c r="I143" s="1">
        <v>3.3965161000000002E-8</v>
      </c>
      <c r="J143" s="1">
        <v>1.1250202999999999E-5</v>
      </c>
      <c r="K143" s="1">
        <v>3.8155480000000002E-7</v>
      </c>
      <c r="L143">
        <v>2.4749529999999999E-2</v>
      </c>
      <c r="M143" s="1">
        <v>9.6870904000000006E-5</v>
      </c>
      <c r="N143">
        <v>-1.4673891999999999</v>
      </c>
      <c r="O143">
        <v>3.8829352000000002E-3</v>
      </c>
      <c r="P143" s="1">
        <v>1.9552796000000001E-8</v>
      </c>
      <c r="Q143" t="s">
        <v>187</v>
      </c>
      <c r="R143">
        <v>1.0510222E-3</v>
      </c>
      <c r="S143" s="1">
        <v>1.9299819999999999E-5</v>
      </c>
    </row>
    <row r="144" spans="1:19" x14ac:dyDescent="0.2">
      <c r="A144" t="s">
        <v>304</v>
      </c>
      <c r="B144">
        <v>3.5217000000000001</v>
      </c>
      <c r="C144" t="s">
        <v>305</v>
      </c>
      <c r="D144" s="1">
        <v>726158460</v>
      </c>
      <c r="E144">
        <v>5856.8508000000002</v>
      </c>
      <c r="F144">
        <v>0.19662867000000001</v>
      </c>
      <c r="G144">
        <v>2.033464E-3</v>
      </c>
      <c r="H144" s="1">
        <v>1.0083192E-5</v>
      </c>
      <c r="I144" s="1">
        <v>3.4812004999999999E-8</v>
      </c>
      <c r="J144" s="1">
        <v>9.8728083999999997E-6</v>
      </c>
      <c r="K144" s="1">
        <v>4.1391014000000001E-7</v>
      </c>
      <c r="L144">
        <v>2.4634057000000001E-2</v>
      </c>
      <c r="M144" s="1">
        <v>9.8497701000000007E-5</v>
      </c>
      <c r="N144">
        <v>-1.4344600999999999</v>
      </c>
      <c r="O144">
        <v>3.968582E-3</v>
      </c>
      <c r="P144" s="1">
        <v>1.9818656E-8</v>
      </c>
      <c r="Q144" t="s">
        <v>187</v>
      </c>
      <c r="R144">
        <v>1.0080836999999999E-3</v>
      </c>
      <c r="S144" s="1">
        <v>1.9991723999999999E-5</v>
      </c>
    </row>
    <row r="145" spans="1:19" x14ac:dyDescent="0.2">
      <c r="A145" t="s">
        <v>306</v>
      </c>
      <c r="B145">
        <v>3.5217000000000001</v>
      </c>
      <c r="C145" t="s">
        <v>307</v>
      </c>
      <c r="D145" s="1">
        <v>726441680</v>
      </c>
      <c r="E145">
        <v>5961.5307000000003</v>
      </c>
      <c r="F145">
        <v>0.20091716000000001</v>
      </c>
      <c r="G145">
        <v>2.0650066000000001E-3</v>
      </c>
      <c r="H145" s="1">
        <v>1.0143863999999999E-5</v>
      </c>
      <c r="I145" s="1">
        <v>3.4927546999999998E-8</v>
      </c>
      <c r="J145" s="1">
        <v>1.0634643000000001E-5</v>
      </c>
      <c r="K145" s="1">
        <v>4.0283082000000002E-7</v>
      </c>
      <c r="L145">
        <v>2.4597622E-2</v>
      </c>
      <c r="M145">
        <v>1.4581735E-4</v>
      </c>
      <c r="N145">
        <v>-1.4791734999999999</v>
      </c>
      <c r="O145">
        <v>3.9820632000000002E-3</v>
      </c>
      <c r="P145" s="1">
        <v>1.9918679999999998E-8</v>
      </c>
      <c r="Q145" s="1">
        <v>1.4646738999999999E-10</v>
      </c>
      <c r="R145">
        <v>1.2554440000000001E-3</v>
      </c>
      <c r="S145" s="1">
        <v>2.0032888E-5</v>
      </c>
    </row>
    <row r="146" spans="1:19" x14ac:dyDescent="0.2">
      <c r="A146" t="s">
        <v>308</v>
      </c>
      <c r="B146">
        <v>3.5217000000000001</v>
      </c>
      <c r="C146" t="s">
        <v>309</v>
      </c>
      <c r="D146" s="1">
        <v>726786170</v>
      </c>
      <c r="E146">
        <v>5210.3107</v>
      </c>
      <c r="F146">
        <v>0.20208936999999999</v>
      </c>
      <c r="G146">
        <v>1.9826582000000001E-3</v>
      </c>
      <c r="H146" s="1">
        <v>1.0177572000000001E-5</v>
      </c>
      <c r="I146" s="1">
        <v>3.3802622E-8</v>
      </c>
      <c r="J146" s="1">
        <v>1.1772338E-5</v>
      </c>
      <c r="K146" s="1">
        <v>3.7301195999999999E-7</v>
      </c>
      <c r="L146">
        <v>2.4085985000000001E-2</v>
      </c>
      <c r="M146">
        <v>1.3660518E-4</v>
      </c>
      <c r="N146">
        <v>-1.4960054</v>
      </c>
      <c r="O146">
        <v>3.8108537000000001E-3</v>
      </c>
      <c r="P146" s="1">
        <v>2.0424911000000001E-8</v>
      </c>
      <c r="Q146" s="1">
        <v>1.4421409000000001E-10</v>
      </c>
      <c r="R146">
        <v>1.0842238999999999E-3</v>
      </c>
      <c r="S146" s="1">
        <v>1.9102730000000001E-5</v>
      </c>
    </row>
    <row r="147" spans="1:19" x14ac:dyDescent="0.2">
      <c r="A147" t="s">
        <v>310</v>
      </c>
      <c r="B147">
        <v>3.5217000000000001</v>
      </c>
      <c r="C147" t="s">
        <v>311</v>
      </c>
      <c r="D147" s="1">
        <v>726613940</v>
      </c>
      <c r="E147">
        <v>5612.0811000000003</v>
      </c>
      <c r="F147">
        <v>0.20101322999999999</v>
      </c>
      <c r="G147">
        <v>2.0113380000000001E-3</v>
      </c>
      <c r="H147" s="1">
        <v>1.0185133E-5</v>
      </c>
      <c r="I147" s="1">
        <v>3.4307304000000002E-8</v>
      </c>
      <c r="J147" s="1">
        <v>1.1290614999999999E-5</v>
      </c>
      <c r="K147" s="1">
        <v>3.8503015000000002E-7</v>
      </c>
      <c r="L147">
        <v>2.4451298999999999E-2</v>
      </c>
      <c r="M147" s="1">
        <v>9.5905145000000001E-5</v>
      </c>
      <c r="N147">
        <v>-1.4741605</v>
      </c>
      <c r="O147">
        <v>3.8916190999999998E-3</v>
      </c>
      <c r="P147" s="1">
        <v>1.9866480999999998E-8</v>
      </c>
      <c r="Q147" t="s">
        <v>187</v>
      </c>
      <c r="R147">
        <v>7.4262803000000005E-4</v>
      </c>
      <c r="S147" s="1">
        <v>1.9364337000000001E-5</v>
      </c>
    </row>
    <row r="148" spans="1:19" x14ac:dyDescent="0.2">
      <c r="A148" t="s">
        <v>312</v>
      </c>
      <c r="B148">
        <v>3.5217000000000001</v>
      </c>
      <c r="C148" t="s">
        <v>313</v>
      </c>
      <c r="D148" s="1">
        <v>726531730</v>
      </c>
      <c r="E148">
        <v>5854.0286999999998</v>
      </c>
      <c r="F148">
        <v>0.20132586999999999</v>
      </c>
      <c r="G148">
        <v>2.0766700000000001E-3</v>
      </c>
      <c r="H148" s="1">
        <v>1.0138795999999999E-5</v>
      </c>
      <c r="I148" s="1">
        <v>3.5137909000000001E-8</v>
      </c>
      <c r="J148" s="1">
        <v>1.0816774E-5</v>
      </c>
      <c r="K148" s="1">
        <v>4.0241077E-7</v>
      </c>
      <c r="L148">
        <v>2.4740002000000001E-2</v>
      </c>
      <c r="M148" s="1">
        <v>9.9950781999999996E-5</v>
      </c>
      <c r="N148">
        <v>-1.4739127999999999</v>
      </c>
      <c r="O148">
        <v>4.0081776000000001E-3</v>
      </c>
      <c r="P148" s="1">
        <v>1.9792273E-8</v>
      </c>
      <c r="Q148" t="s">
        <v>187</v>
      </c>
      <c r="R148">
        <v>1.091795E-3</v>
      </c>
      <c r="S148" s="1">
        <v>2.0183923000000001E-5</v>
      </c>
    </row>
    <row r="149" spans="1:19" x14ac:dyDescent="0.2">
      <c r="A149" t="s">
        <v>314</v>
      </c>
      <c r="B149">
        <v>3.5217000000000001</v>
      </c>
      <c r="C149" t="s">
        <v>315</v>
      </c>
      <c r="D149" s="1">
        <v>726742480</v>
      </c>
      <c r="E149">
        <v>6066.1966000000002</v>
      </c>
      <c r="F149">
        <v>0.19405738</v>
      </c>
      <c r="G149">
        <v>1.9704461999999999E-3</v>
      </c>
      <c r="H149" s="1">
        <v>1.0039262E-5</v>
      </c>
      <c r="I149" s="1">
        <v>3.3998944000000001E-8</v>
      </c>
      <c r="J149" s="1">
        <v>9.4855715999999998E-6</v>
      </c>
      <c r="K149" s="1">
        <v>4.1090693999999998E-7</v>
      </c>
      <c r="L149">
        <v>2.4804748000000001E-2</v>
      </c>
      <c r="M149" s="1">
        <v>9.6269477999999997E-5</v>
      </c>
      <c r="N149">
        <v>-1.4918004</v>
      </c>
      <c r="O149">
        <v>3.8498693999999998E-3</v>
      </c>
      <c r="P149" s="1">
        <v>1.9762253E-8</v>
      </c>
      <c r="Q149" t="s">
        <v>187</v>
      </c>
      <c r="R149">
        <v>8.9677661999999997E-4</v>
      </c>
      <c r="S149" s="1">
        <v>1.9549227999999999E-5</v>
      </c>
    </row>
    <row r="150" spans="1:19" x14ac:dyDescent="0.2">
      <c r="A150" t="s">
        <v>316</v>
      </c>
      <c r="B150">
        <v>3.5217000000000001</v>
      </c>
      <c r="C150" t="s">
        <v>317</v>
      </c>
      <c r="D150" s="1">
        <v>726675050</v>
      </c>
      <c r="E150">
        <v>5884.9983000000002</v>
      </c>
      <c r="F150">
        <v>0.20285918</v>
      </c>
      <c r="G150">
        <v>2.0217494999999999E-3</v>
      </c>
      <c r="H150" s="1">
        <v>1.0182452E-5</v>
      </c>
      <c r="I150" s="1">
        <v>3.4102031000000003E-8</v>
      </c>
      <c r="J150" s="1">
        <v>1.1118766E-5</v>
      </c>
      <c r="K150" s="1">
        <v>3.8523468E-7</v>
      </c>
      <c r="L150">
        <v>2.4896159000000001E-2</v>
      </c>
      <c r="M150" s="1">
        <v>9.6675343000000004E-5</v>
      </c>
      <c r="N150">
        <v>-1.5006792</v>
      </c>
      <c r="O150">
        <v>3.8512639E-3</v>
      </c>
      <c r="P150" s="1">
        <v>1.9809462000000001E-8</v>
      </c>
      <c r="Q150" t="s">
        <v>187</v>
      </c>
      <c r="R150">
        <v>1.2795697E-3</v>
      </c>
      <c r="S150" s="1">
        <v>1.9475154E-5</v>
      </c>
    </row>
    <row r="151" spans="1:19" x14ac:dyDescent="0.2">
      <c r="A151" t="s">
        <v>318</v>
      </c>
      <c r="B151">
        <v>3.5217000000000001</v>
      </c>
      <c r="C151" t="s">
        <v>319</v>
      </c>
      <c r="D151" s="1">
        <v>727011880</v>
      </c>
      <c r="E151">
        <v>5817.1882999999998</v>
      </c>
      <c r="F151">
        <v>0.20127494000000001</v>
      </c>
      <c r="G151">
        <v>2.0521061000000002E-3</v>
      </c>
      <c r="H151" s="1">
        <v>1.0182418E-5</v>
      </c>
      <c r="I151" s="1">
        <v>3.4998832000000001E-8</v>
      </c>
      <c r="J151" s="1">
        <v>1.1439460999999999E-5</v>
      </c>
      <c r="K151" s="1">
        <v>3.9093474000000001E-7</v>
      </c>
      <c r="L151">
        <v>2.4178983000000001E-2</v>
      </c>
      <c r="M151">
        <v>1.4268209000000001E-4</v>
      </c>
      <c r="N151">
        <v>-1.534888</v>
      </c>
      <c r="O151">
        <v>3.9621758000000003E-3</v>
      </c>
      <c r="P151" s="1">
        <v>2.0184613000000001E-8</v>
      </c>
      <c r="Q151" s="1">
        <v>1.4799983E-10</v>
      </c>
      <c r="R151">
        <v>1.1434857000000001E-3</v>
      </c>
      <c r="S151" s="1">
        <v>1.9752216000000001E-5</v>
      </c>
    </row>
    <row r="152" spans="1:19" x14ac:dyDescent="0.2">
      <c r="A152" t="s">
        <v>320</v>
      </c>
      <c r="B152">
        <v>3.5217000000000001</v>
      </c>
      <c r="C152" t="s">
        <v>321</v>
      </c>
      <c r="D152" s="1">
        <v>726653080</v>
      </c>
      <c r="E152">
        <v>5850.527</v>
      </c>
      <c r="F152">
        <v>0.20073409</v>
      </c>
      <c r="G152">
        <v>2.0352154000000001E-3</v>
      </c>
      <c r="H152" s="1">
        <v>1.0175966000000001E-5</v>
      </c>
      <c r="I152" s="1">
        <v>3.4561841999999998E-8</v>
      </c>
      <c r="J152" s="1">
        <v>1.0840602E-5</v>
      </c>
      <c r="K152" s="1">
        <v>3.9486958999999998E-7</v>
      </c>
      <c r="L152">
        <v>2.4230572999999998E-2</v>
      </c>
      <c r="M152">
        <v>1.4250335E-4</v>
      </c>
      <c r="N152">
        <v>-1.4824085</v>
      </c>
      <c r="O152">
        <v>3.9511377000000002E-3</v>
      </c>
      <c r="P152" s="1">
        <v>2.0018593999999998E-8</v>
      </c>
      <c r="Q152" s="1">
        <v>1.4614831E-10</v>
      </c>
      <c r="R152">
        <v>9.5789585999999998E-4</v>
      </c>
      <c r="S152" s="1">
        <v>1.9614570000000001E-5</v>
      </c>
    </row>
    <row r="153" spans="1:19" x14ac:dyDescent="0.2">
      <c r="A153" t="s">
        <v>322</v>
      </c>
      <c r="B153">
        <v>3.5217000000000001</v>
      </c>
      <c r="C153" t="s">
        <v>323</v>
      </c>
      <c r="D153" s="1">
        <v>726716210</v>
      </c>
      <c r="E153">
        <v>5848.5536000000002</v>
      </c>
      <c r="F153">
        <v>0.20360877999999999</v>
      </c>
      <c r="G153">
        <v>2.0668418000000001E-3</v>
      </c>
      <c r="H153" s="1">
        <v>1.0174381999999999E-5</v>
      </c>
      <c r="I153" s="1">
        <v>3.5052246000000001E-8</v>
      </c>
      <c r="J153" s="1">
        <v>1.1933341E-5</v>
      </c>
      <c r="K153" s="1">
        <v>3.8429725E-7</v>
      </c>
      <c r="L153">
        <v>2.4631343E-2</v>
      </c>
      <c r="M153" s="1">
        <v>9.8576519999999995E-5</v>
      </c>
      <c r="N153">
        <v>-1.4976946</v>
      </c>
      <c r="O153">
        <v>3.9696434999999999E-3</v>
      </c>
      <c r="P153" s="1">
        <v>1.9900802E-8</v>
      </c>
      <c r="Q153" t="s">
        <v>187</v>
      </c>
      <c r="R153">
        <v>1.2170008E-3</v>
      </c>
      <c r="S153" s="1">
        <v>1.9942572000000001E-5</v>
      </c>
    </row>
    <row r="154" spans="1:19" x14ac:dyDescent="0.2">
      <c r="A154" t="s">
        <v>324</v>
      </c>
      <c r="B154">
        <v>3.5217000000000001</v>
      </c>
      <c r="C154" t="s">
        <v>325</v>
      </c>
      <c r="D154" s="1">
        <v>726639160</v>
      </c>
      <c r="E154">
        <v>5628.4695000000002</v>
      </c>
      <c r="F154">
        <v>0.20064866000000001</v>
      </c>
      <c r="G154">
        <v>1.971127E-3</v>
      </c>
      <c r="H154" s="1">
        <v>1.0111722E-5</v>
      </c>
      <c r="I154" s="1">
        <v>3.3320439000000001E-8</v>
      </c>
      <c r="J154" s="1">
        <v>1.0531615E-5</v>
      </c>
      <c r="K154" s="1">
        <v>3.8646406999999997E-7</v>
      </c>
      <c r="L154">
        <v>2.4606916999999999E-2</v>
      </c>
      <c r="M154">
        <v>1.3898502999999999E-4</v>
      </c>
      <c r="N154">
        <v>-1.4726193000000001</v>
      </c>
      <c r="O154">
        <v>3.7954916E-3</v>
      </c>
      <c r="P154" s="1">
        <v>2.0061404E-8</v>
      </c>
      <c r="Q154" s="1">
        <v>1.4071488999999999E-10</v>
      </c>
      <c r="R154">
        <v>1.0710209999999999E-3</v>
      </c>
      <c r="S154" s="1">
        <v>1.9249153999999999E-5</v>
      </c>
    </row>
    <row r="155" spans="1:19" x14ac:dyDescent="0.2">
      <c r="A155" t="s">
        <v>326</v>
      </c>
      <c r="B155">
        <v>3.5217000000000001</v>
      </c>
      <c r="C155" t="s">
        <v>327</v>
      </c>
      <c r="D155" s="1">
        <v>726886670</v>
      </c>
      <c r="E155">
        <v>5749.9574000000002</v>
      </c>
      <c r="F155">
        <v>0.19618126999999999</v>
      </c>
      <c r="G155">
        <v>2.0154677000000002E-3</v>
      </c>
      <c r="H155" s="1">
        <v>1.008586E-5</v>
      </c>
      <c r="I155" s="1">
        <v>3.4581592000000001E-8</v>
      </c>
      <c r="J155" s="1">
        <v>9.9044015000000003E-6</v>
      </c>
      <c r="K155" s="1">
        <v>4.1090175999999999E-7</v>
      </c>
      <c r="L155">
        <v>2.423635E-2</v>
      </c>
      <c r="M155">
        <v>1.4191021E-4</v>
      </c>
      <c r="N155">
        <v>-1.5105961000000001</v>
      </c>
      <c r="O155">
        <v>3.9328881999999999E-3</v>
      </c>
      <c r="P155" s="1">
        <v>2.019578E-8</v>
      </c>
      <c r="Q155" s="1">
        <v>1.4696470999999999E-10</v>
      </c>
      <c r="R155">
        <v>7.6398801999999998E-4</v>
      </c>
      <c r="S155" s="1">
        <v>1.9788186E-5</v>
      </c>
    </row>
    <row r="156" spans="1:19" x14ac:dyDescent="0.2">
      <c r="A156" t="s">
        <v>328</v>
      </c>
      <c r="B156">
        <v>3.5217000000000001</v>
      </c>
      <c r="C156" t="s">
        <v>329</v>
      </c>
      <c r="D156" s="1">
        <v>727034640</v>
      </c>
      <c r="E156">
        <v>6227.9876000000004</v>
      </c>
      <c r="F156">
        <v>0.20440695</v>
      </c>
      <c r="G156">
        <v>2.0544130000000002E-3</v>
      </c>
      <c r="H156" s="1">
        <v>1.0181037000000001E-5</v>
      </c>
      <c r="I156" s="1">
        <v>3.4798628E-8</v>
      </c>
      <c r="J156" s="1">
        <v>1.215326E-5</v>
      </c>
      <c r="K156" s="1">
        <v>3.7821666000000002E-7</v>
      </c>
      <c r="L156">
        <v>2.4659964999999999E-2</v>
      </c>
      <c r="M156" s="1">
        <v>9.8577118000000004E-5</v>
      </c>
      <c r="N156">
        <v>-1.5034042999999999</v>
      </c>
      <c r="O156">
        <v>3.9651375000000003E-3</v>
      </c>
      <c r="P156" s="1">
        <v>1.9726542999999998E-8</v>
      </c>
      <c r="Q156" t="s">
        <v>187</v>
      </c>
      <c r="R156">
        <v>1.2596456E-3</v>
      </c>
      <c r="S156" s="1">
        <v>1.9795411E-5</v>
      </c>
    </row>
    <row r="157" spans="1:19" x14ac:dyDescent="0.2">
      <c r="A157" t="s">
        <v>330</v>
      </c>
      <c r="B157">
        <v>3.5217000000000001</v>
      </c>
      <c r="C157" t="s">
        <v>331</v>
      </c>
      <c r="D157" s="1">
        <v>726652470</v>
      </c>
      <c r="E157">
        <v>5843.8805000000002</v>
      </c>
      <c r="F157">
        <v>0.19982741000000001</v>
      </c>
      <c r="G157">
        <v>1.9398722000000001E-3</v>
      </c>
      <c r="H157" s="1">
        <v>1.0120479999999999E-5</v>
      </c>
      <c r="I157" s="1">
        <v>3.2945989000000002E-8</v>
      </c>
      <c r="J157" s="1">
        <v>1.0523605000000001E-5</v>
      </c>
      <c r="K157" s="1">
        <v>3.8178309000000001E-7</v>
      </c>
      <c r="L157">
        <v>2.4673546000000001E-2</v>
      </c>
      <c r="M157" s="1">
        <v>9.3502149000000001E-5</v>
      </c>
      <c r="N157">
        <v>-1.5038064</v>
      </c>
      <c r="O157">
        <v>3.7582840999999998E-3</v>
      </c>
      <c r="P157" s="1">
        <v>1.9823562999999999E-8</v>
      </c>
      <c r="Q157" t="s">
        <v>187</v>
      </c>
      <c r="R157">
        <v>9.6457577999999999E-4</v>
      </c>
      <c r="S157" s="1">
        <v>1.892554E-5</v>
      </c>
    </row>
    <row r="158" spans="1:19" x14ac:dyDescent="0.2">
      <c r="A158" t="s">
        <v>332</v>
      </c>
      <c r="B158">
        <v>3.5217000000000001</v>
      </c>
      <c r="C158" t="s">
        <v>333</v>
      </c>
      <c r="D158" s="1">
        <v>726974560</v>
      </c>
      <c r="E158">
        <v>6099.1045000000004</v>
      </c>
      <c r="F158">
        <v>0.20309476000000001</v>
      </c>
      <c r="G158">
        <v>2.0055237000000002E-3</v>
      </c>
      <c r="H158" s="1">
        <v>1.0197289E-5</v>
      </c>
      <c r="I158" s="1">
        <v>3.4456223000000003E-8</v>
      </c>
      <c r="J158" s="1">
        <v>1.2789584999999999E-5</v>
      </c>
      <c r="K158" s="1">
        <v>3.6516344999999999E-7</v>
      </c>
      <c r="L158">
        <v>2.4221817999999999E-2</v>
      </c>
      <c r="M158" s="1">
        <v>9.5864495999999999E-5</v>
      </c>
      <c r="N158">
        <v>-1.5046550000000001</v>
      </c>
      <c r="O158">
        <v>3.9256285999999998E-3</v>
      </c>
      <c r="P158" s="1">
        <v>1.9766662999999999E-8</v>
      </c>
      <c r="Q158" t="s">
        <v>187</v>
      </c>
      <c r="R158">
        <v>1.0364878000000001E-3</v>
      </c>
      <c r="S158" s="1">
        <v>1.9260338999999999E-5</v>
      </c>
    </row>
    <row r="159" spans="1:19" x14ac:dyDescent="0.2">
      <c r="A159" t="s">
        <v>334</v>
      </c>
      <c r="B159">
        <v>3.5217000000000001</v>
      </c>
      <c r="C159" t="s">
        <v>335</v>
      </c>
      <c r="D159" s="1">
        <v>727108510</v>
      </c>
      <c r="E159">
        <v>5517.8495999999996</v>
      </c>
      <c r="F159">
        <v>0.20085931000000001</v>
      </c>
      <c r="G159">
        <v>2.0021270999999998E-3</v>
      </c>
      <c r="H159" s="1">
        <v>1.0147801000000001E-5</v>
      </c>
      <c r="I159" s="1">
        <v>3.4233320000000002E-8</v>
      </c>
      <c r="J159" s="1">
        <v>1.1553631E-5</v>
      </c>
      <c r="K159" s="1">
        <v>3.8154249999999998E-7</v>
      </c>
      <c r="L159">
        <v>2.3879161999999999E-2</v>
      </c>
      <c r="M159">
        <v>1.3846947E-4</v>
      </c>
      <c r="N159">
        <v>-1.5198484000000001</v>
      </c>
      <c r="O159">
        <v>3.8955304E-3</v>
      </c>
      <c r="P159" s="1">
        <v>2.0436193E-8</v>
      </c>
      <c r="Q159" s="1">
        <v>1.4753026999999999E-10</v>
      </c>
      <c r="R159">
        <v>9.7960103999999992E-4</v>
      </c>
      <c r="S159" s="1">
        <v>1.9408586000000001E-5</v>
      </c>
    </row>
    <row r="160" spans="1:19" x14ac:dyDescent="0.2">
      <c r="A160" t="s">
        <v>336</v>
      </c>
      <c r="B160">
        <v>3.5217000000000001</v>
      </c>
      <c r="C160" t="s">
        <v>337</v>
      </c>
      <c r="D160" s="1">
        <v>726628240</v>
      </c>
      <c r="E160">
        <v>6267.6902</v>
      </c>
      <c r="F160">
        <v>0.20331489999999999</v>
      </c>
      <c r="G160">
        <v>2.0570534999999998E-3</v>
      </c>
      <c r="H160" s="1">
        <v>1.0202056E-5</v>
      </c>
      <c r="I160" s="1">
        <v>3.4583838999999999E-8</v>
      </c>
      <c r="J160" s="1">
        <v>1.0987792E-5</v>
      </c>
      <c r="K160" s="1">
        <v>3.9213058999999997E-7</v>
      </c>
      <c r="L160">
        <v>2.5052641E-2</v>
      </c>
      <c r="M160" s="1">
        <v>9.9521700000000006E-5</v>
      </c>
      <c r="N160">
        <v>-1.4811045</v>
      </c>
      <c r="O160">
        <v>3.9403655000000001E-3</v>
      </c>
      <c r="P160" s="1">
        <v>1.9452196000000001E-8</v>
      </c>
      <c r="Q160" t="s">
        <v>187</v>
      </c>
      <c r="R160">
        <v>1.1780428000000001E-3</v>
      </c>
      <c r="S160" s="1">
        <v>1.9735419999999999E-5</v>
      </c>
    </row>
    <row r="161" spans="1:19" x14ac:dyDescent="0.2">
      <c r="A161" t="s">
        <v>338</v>
      </c>
      <c r="B161">
        <v>3.5217000000000001</v>
      </c>
      <c r="C161" t="s">
        <v>339</v>
      </c>
      <c r="D161" s="1">
        <v>726746140</v>
      </c>
      <c r="E161">
        <v>5858.2587000000003</v>
      </c>
      <c r="F161">
        <v>0.19874157000000001</v>
      </c>
      <c r="G161">
        <v>1.9624982000000001E-3</v>
      </c>
      <c r="H161" s="1">
        <v>1.0140445E-5</v>
      </c>
      <c r="I161" s="1">
        <v>3.3324540999999998E-8</v>
      </c>
      <c r="J161" s="1">
        <v>1.0022906999999999E-5</v>
      </c>
      <c r="K161" s="1">
        <v>3.9305630000000003E-7</v>
      </c>
      <c r="L161">
        <v>2.4156205E-2</v>
      </c>
      <c r="M161">
        <v>1.3837674999999999E-4</v>
      </c>
      <c r="N161">
        <v>-1.4925625</v>
      </c>
      <c r="O161">
        <v>3.8479195000000002E-3</v>
      </c>
      <c r="P161" s="1">
        <v>1.9967420000000001E-8</v>
      </c>
      <c r="Q161" s="1">
        <v>1.4192934E-10</v>
      </c>
      <c r="R161">
        <v>8.2407821000000003E-4</v>
      </c>
      <c r="S161" s="1">
        <v>1.9051989999999999E-5</v>
      </c>
    </row>
    <row r="162" spans="1:19" x14ac:dyDescent="0.2">
      <c r="A162" t="s">
        <v>340</v>
      </c>
      <c r="B162">
        <v>3.5217000000000001</v>
      </c>
      <c r="C162" t="s">
        <v>341</v>
      </c>
      <c r="D162" s="1">
        <v>726939660</v>
      </c>
      <c r="E162">
        <v>6085.5946999999996</v>
      </c>
      <c r="F162">
        <v>0.19640968</v>
      </c>
      <c r="G162">
        <v>1.9558886E-3</v>
      </c>
      <c r="H162" s="1">
        <v>1.0082139E-5</v>
      </c>
      <c r="I162" s="1">
        <v>3.3831703000000003E-8</v>
      </c>
      <c r="J162" s="1">
        <v>1.0698979E-5</v>
      </c>
      <c r="K162" s="1">
        <v>3.9042707E-7</v>
      </c>
      <c r="L162">
        <v>2.4493806E-2</v>
      </c>
      <c r="M162" s="1">
        <v>9.5966467E-5</v>
      </c>
      <c r="N162">
        <v>-1.5094523</v>
      </c>
      <c r="O162">
        <v>3.8854370999999999E-3</v>
      </c>
      <c r="P162" s="1">
        <v>1.9513947000000002E-8</v>
      </c>
      <c r="Q162" t="s">
        <v>187</v>
      </c>
      <c r="R162">
        <v>9.9420920000000009E-4</v>
      </c>
      <c r="S162" s="1">
        <v>1.9232792000000001E-5</v>
      </c>
    </row>
    <row r="163" spans="1:19" x14ac:dyDescent="0.2">
      <c r="A163" t="s">
        <v>342</v>
      </c>
      <c r="B163">
        <v>3.5217000000000001</v>
      </c>
      <c r="C163" t="s">
        <v>343</v>
      </c>
      <c r="D163" s="1">
        <v>727249370</v>
      </c>
      <c r="E163">
        <v>6167.9179999999997</v>
      </c>
      <c r="F163">
        <v>0.20044069</v>
      </c>
      <c r="G163">
        <v>2.1308446E-3</v>
      </c>
      <c r="H163" s="1">
        <v>1.0095754E-5</v>
      </c>
      <c r="I163" s="1">
        <v>3.6371959E-8</v>
      </c>
      <c r="J163" s="1">
        <v>1.1331839000000001E-5</v>
      </c>
      <c r="K163" s="1">
        <v>4.1001321E-7</v>
      </c>
      <c r="L163">
        <v>2.4277947000000001E-2</v>
      </c>
      <c r="M163">
        <v>1.4978841E-4</v>
      </c>
      <c r="N163">
        <v>-1.511854</v>
      </c>
      <c r="O163">
        <v>4.1450658999999997E-3</v>
      </c>
      <c r="P163" s="1">
        <v>2.0199144000000001E-8</v>
      </c>
      <c r="Q163" s="1">
        <v>1.5490050000000001E-10</v>
      </c>
      <c r="R163">
        <v>9.3958612999999998E-4</v>
      </c>
      <c r="S163" s="1">
        <v>2.0878171E-5</v>
      </c>
    </row>
    <row r="164" spans="1:19" x14ac:dyDescent="0.2">
      <c r="A164" t="s">
        <v>344</v>
      </c>
      <c r="B164">
        <v>3.5217000000000001</v>
      </c>
      <c r="C164" t="s">
        <v>345</v>
      </c>
      <c r="D164" s="1">
        <v>726919520</v>
      </c>
      <c r="E164">
        <v>6134.4206999999997</v>
      </c>
      <c r="F164">
        <v>0.19601278</v>
      </c>
      <c r="G164">
        <v>1.9864265000000001E-3</v>
      </c>
      <c r="H164" s="1">
        <v>9.9846936999999999E-6</v>
      </c>
      <c r="I164" s="1">
        <v>3.4283995E-8</v>
      </c>
      <c r="J164" s="1">
        <v>1.0524960000000001E-5</v>
      </c>
      <c r="K164" s="1">
        <v>4.0043043000000002E-7</v>
      </c>
      <c r="L164">
        <v>2.4592458000000001E-2</v>
      </c>
      <c r="M164" s="1">
        <v>9.7773294000000005E-5</v>
      </c>
      <c r="N164">
        <v>-1.4876035000000001</v>
      </c>
      <c r="O164">
        <v>3.9444416000000001E-3</v>
      </c>
      <c r="P164" s="1">
        <v>1.9762903999999999E-8</v>
      </c>
      <c r="Q164" t="s">
        <v>187</v>
      </c>
      <c r="R164">
        <v>1.0462863999999999E-3</v>
      </c>
      <c r="S164" s="1">
        <v>1.9933046E-5</v>
      </c>
    </row>
    <row r="165" spans="1:19" x14ac:dyDescent="0.2">
      <c r="A165" t="s">
        <v>346</v>
      </c>
      <c r="B165">
        <v>3.5217000000000001</v>
      </c>
      <c r="C165" t="s">
        <v>347</v>
      </c>
      <c r="D165" s="1">
        <v>726708100</v>
      </c>
      <c r="E165">
        <v>5821.2592000000004</v>
      </c>
      <c r="F165">
        <v>0.20133250999999999</v>
      </c>
      <c r="G165">
        <v>1.9696179999999998E-3</v>
      </c>
      <c r="H165" s="1">
        <v>1.0112516000000001E-5</v>
      </c>
      <c r="I165" s="1">
        <v>3.3229639000000001E-8</v>
      </c>
      <c r="J165" s="1">
        <v>1.0616329E-5</v>
      </c>
      <c r="K165" s="1">
        <v>3.8394644E-7</v>
      </c>
      <c r="L165">
        <v>2.4525279000000001E-2</v>
      </c>
      <c r="M165" s="1">
        <v>9.4803779999999994E-5</v>
      </c>
      <c r="N165">
        <v>-1.4607110999999999</v>
      </c>
      <c r="O165">
        <v>3.8364013999999998E-3</v>
      </c>
      <c r="P165" s="1">
        <v>1.9877038999999999E-8</v>
      </c>
      <c r="Q165" t="s">
        <v>187</v>
      </c>
      <c r="R165">
        <v>1.1817597999999999E-3</v>
      </c>
      <c r="S165" s="1">
        <v>1.9247372000000001E-5</v>
      </c>
    </row>
    <row r="166" spans="1:19" x14ac:dyDescent="0.2">
      <c r="A166" t="s">
        <v>348</v>
      </c>
      <c r="B166">
        <v>3.5217000000000001</v>
      </c>
      <c r="C166" t="s">
        <v>349</v>
      </c>
      <c r="D166" s="1">
        <v>727295710</v>
      </c>
      <c r="E166">
        <v>5641.5765000000001</v>
      </c>
      <c r="F166">
        <v>0.20046606</v>
      </c>
      <c r="G166">
        <v>1.9676304999999999E-3</v>
      </c>
      <c r="H166" s="1">
        <v>1.0132836000000001E-5</v>
      </c>
      <c r="I166" s="1">
        <v>3.3780284999999997E-8</v>
      </c>
      <c r="J166" s="1">
        <v>1.1770109000000001E-5</v>
      </c>
      <c r="K166" s="1">
        <v>3.7380119999999998E-7</v>
      </c>
      <c r="L166">
        <v>2.3693365000000001E-2</v>
      </c>
      <c r="M166">
        <v>1.3672048000000001E-4</v>
      </c>
      <c r="N166">
        <v>-1.5096536</v>
      </c>
      <c r="O166">
        <v>3.8775213999999998E-3</v>
      </c>
      <c r="P166" s="1">
        <v>2.0363789999999999E-8</v>
      </c>
      <c r="Q166" s="1">
        <v>1.4623169E-10</v>
      </c>
      <c r="R166">
        <v>8.0552854999999999E-4</v>
      </c>
      <c r="S166" s="1">
        <v>1.9132566000000001E-5</v>
      </c>
    </row>
    <row r="167" spans="1:19" x14ac:dyDescent="0.2">
      <c r="A167" t="s">
        <v>350</v>
      </c>
      <c r="B167">
        <v>3.5217000000000001</v>
      </c>
      <c r="C167" t="s">
        <v>351</v>
      </c>
      <c r="D167" s="1">
        <v>727288450</v>
      </c>
      <c r="E167">
        <v>5699.4651000000003</v>
      </c>
      <c r="F167">
        <v>0.20242342999999999</v>
      </c>
      <c r="G167">
        <v>1.9892075E-3</v>
      </c>
      <c r="H167" s="1">
        <v>1.0140632E-5</v>
      </c>
      <c r="I167" s="1">
        <v>3.3896310000000001E-8</v>
      </c>
      <c r="J167" s="1">
        <v>1.1950899E-5</v>
      </c>
      <c r="K167" s="1">
        <v>3.7238558000000002E-7</v>
      </c>
      <c r="L167">
        <v>2.4426577000000001E-2</v>
      </c>
      <c r="M167">
        <v>1.3993573999999999E-4</v>
      </c>
      <c r="N167">
        <v>-1.5129284999999999</v>
      </c>
      <c r="O167">
        <v>3.8483578E-3</v>
      </c>
      <c r="P167" s="1">
        <v>2.0024795E-8</v>
      </c>
      <c r="Q167" s="1">
        <v>1.4240798999999999E-10</v>
      </c>
      <c r="R167">
        <v>9.4122457000000005E-4</v>
      </c>
      <c r="S167" s="1">
        <v>1.9310753999999999E-5</v>
      </c>
    </row>
    <row r="168" spans="1:19" x14ac:dyDescent="0.2">
      <c r="A168" t="s">
        <v>352</v>
      </c>
      <c r="B168">
        <v>3.5217000000000001</v>
      </c>
      <c r="C168" t="s">
        <v>353</v>
      </c>
      <c r="D168" s="1">
        <v>727195950</v>
      </c>
      <c r="E168">
        <v>5836.6350000000002</v>
      </c>
      <c r="F168">
        <v>0.19756983</v>
      </c>
      <c r="G168">
        <v>2.0535309999999999E-3</v>
      </c>
      <c r="H168" s="1">
        <v>1.0068024999999999E-5</v>
      </c>
      <c r="I168" s="1">
        <v>3.5219199E-8</v>
      </c>
      <c r="J168" s="1">
        <v>1.0492909E-5</v>
      </c>
      <c r="K168" s="1">
        <v>4.0983171000000002E-7</v>
      </c>
      <c r="L168">
        <v>2.4927531999999999E-2</v>
      </c>
      <c r="M168" s="1">
        <v>9.9776081999999999E-5</v>
      </c>
      <c r="N168">
        <v>-1.505682</v>
      </c>
      <c r="O168">
        <v>3.9706790000000004E-3</v>
      </c>
      <c r="P168" s="1">
        <v>1.9800478999999999E-8</v>
      </c>
      <c r="Q168" t="s">
        <v>187</v>
      </c>
      <c r="R168">
        <v>9.0904495000000002E-4</v>
      </c>
      <c r="S168" s="1">
        <v>2.0252508000000002E-5</v>
      </c>
    </row>
    <row r="169" spans="1:19" x14ac:dyDescent="0.2">
      <c r="A169" t="s">
        <v>354</v>
      </c>
      <c r="B169">
        <v>3.5217000000000001</v>
      </c>
      <c r="C169" t="s">
        <v>355</v>
      </c>
      <c r="D169" s="1">
        <v>727122730</v>
      </c>
      <c r="E169">
        <v>5970.5677999999998</v>
      </c>
      <c r="F169">
        <v>0.20461697000000001</v>
      </c>
      <c r="G169">
        <v>2.0389141999999998E-3</v>
      </c>
      <c r="H169" s="1">
        <v>1.0181063E-5</v>
      </c>
      <c r="I169" s="1">
        <v>3.4235334999999999E-8</v>
      </c>
      <c r="J169" s="1">
        <v>1.1479387999999999E-5</v>
      </c>
      <c r="K169" s="1">
        <v>3.8162708999999999E-7</v>
      </c>
      <c r="L169">
        <v>2.4923243000000001E-2</v>
      </c>
      <c r="M169" s="1">
        <v>9.7644153999999997E-5</v>
      </c>
      <c r="N169">
        <v>-1.5064601</v>
      </c>
      <c r="O169">
        <v>3.8862114999999998E-3</v>
      </c>
      <c r="P169" s="1">
        <v>1.9774446999999999E-8</v>
      </c>
      <c r="Q169" t="s">
        <v>187</v>
      </c>
      <c r="R169">
        <v>1.0670238999999999E-3</v>
      </c>
      <c r="S169" s="1">
        <v>1.9646058999999999E-5</v>
      </c>
    </row>
    <row r="170" spans="1:19" x14ac:dyDescent="0.2">
      <c r="A170" t="s">
        <v>356</v>
      </c>
      <c r="B170">
        <v>3.5217000000000001</v>
      </c>
      <c r="C170" t="s">
        <v>357</v>
      </c>
      <c r="D170" s="1">
        <v>727062770</v>
      </c>
      <c r="E170">
        <v>5816.7740999999996</v>
      </c>
      <c r="F170">
        <v>0.20071510000000001</v>
      </c>
      <c r="G170">
        <v>1.9828641E-3</v>
      </c>
      <c r="H170" s="1">
        <v>1.0141671E-5</v>
      </c>
      <c r="I170" s="1">
        <v>3.3789150000000001E-8</v>
      </c>
      <c r="J170" s="1">
        <v>1.1167484000000001E-5</v>
      </c>
      <c r="K170" s="1">
        <v>3.8193100999999999E-7</v>
      </c>
      <c r="L170">
        <v>2.4668170999999999E-2</v>
      </c>
      <c r="M170" s="1">
        <v>9.5284991999999998E-5</v>
      </c>
      <c r="N170">
        <v>-1.488561</v>
      </c>
      <c r="O170">
        <v>3.8325474000000001E-3</v>
      </c>
      <c r="P170" s="1">
        <v>1.9820864999999999E-8</v>
      </c>
      <c r="Q170" t="s">
        <v>187</v>
      </c>
      <c r="R170">
        <v>7.9301939999999998E-4</v>
      </c>
      <c r="S170" s="1">
        <v>1.9260907E-5</v>
      </c>
    </row>
    <row r="171" spans="1:19" x14ac:dyDescent="0.2">
      <c r="A171" t="s">
        <v>358</v>
      </c>
      <c r="B171">
        <v>3.5217000000000001</v>
      </c>
      <c r="C171" t="s">
        <v>359</v>
      </c>
      <c r="D171" s="1">
        <v>727027710</v>
      </c>
      <c r="E171">
        <v>5919.1197000000002</v>
      </c>
      <c r="F171">
        <v>0.20111587</v>
      </c>
      <c r="G171">
        <v>1.8749633E-3</v>
      </c>
      <c r="H171" s="1">
        <v>1.0145358E-5</v>
      </c>
      <c r="I171" s="1">
        <v>3.1841250999999998E-8</v>
      </c>
      <c r="J171" s="1">
        <v>1.1034237E-5</v>
      </c>
      <c r="K171" s="1">
        <v>3.6161274999999999E-7</v>
      </c>
      <c r="L171">
        <v>2.4558674999999999E-2</v>
      </c>
      <c r="M171" s="1">
        <v>9.0477619000000001E-5</v>
      </c>
      <c r="N171">
        <v>-1.4739894</v>
      </c>
      <c r="O171">
        <v>3.6560103E-3</v>
      </c>
      <c r="P171" s="1">
        <v>1.9701839999999999E-8</v>
      </c>
      <c r="Q171" t="s">
        <v>187</v>
      </c>
      <c r="R171">
        <v>1.1116277E-3</v>
      </c>
      <c r="S171" s="1">
        <v>1.8198821999999999E-5</v>
      </c>
    </row>
    <row r="172" spans="1:19" x14ac:dyDescent="0.2">
      <c r="A172" t="s">
        <v>360</v>
      </c>
      <c r="B172">
        <v>3.5217000000000001</v>
      </c>
      <c r="C172" t="s">
        <v>361</v>
      </c>
      <c r="D172" s="1">
        <v>727105060</v>
      </c>
      <c r="E172">
        <v>5502.8442999999997</v>
      </c>
      <c r="F172">
        <v>0.20211693</v>
      </c>
      <c r="G172">
        <v>1.9716783999999998E-3</v>
      </c>
      <c r="H172" s="1">
        <v>1.0119002E-5</v>
      </c>
      <c r="I172" s="1">
        <v>3.3489722000000001E-8</v>
      </c>
      <c r="J172" s="1">
        <v>1.1581040000000001E-5</v>
      </c>
      <c r="K172" s="1">
        <v>3.7352137000000002E-7</v>
      </c>
      <c r="L172">
        <v>2.4058251999999999E-2</v>
      </c>
      <c r="M172">
        <v>1.3751757E-4</v>
      </c>
      <c r="N172">
        <v>-1.5118786</v>
      </c>
      <c r="O172">
        <v>3.8401849999999999E-3</v>
      </c>
      <c r="P172" s="1">
        <v>2.0319039000000001E-8</v>
      </c>
      <c r="Q172" s="1">
        <v>1.4447979E-10</v>
      </c>
      <c r="R172">
        <v>9.9692133999999995E-4</v>
      </c>
      <c r="S172" s="1">
        <v>1.9226570000000001E-5</v>
      </c>
    </row>
    <row r="173" spans="1:19" x14ac:dyDescent="0.2">
      <c r="A173" t="s">
        <v>362</v>
      </c>
      <c r="B173">
        <v>3.5217000000000001</v>
      </c>
      <c r="C173" t="s">
        <v>363</v>
      </c>
      <c r="D173" s="1">
        <v>727169480</v>
      </c>
      <c r="E173">
        <v>6058.5095000000001</v>
      </c>
      <c r="F173">
        <v>0.20148161000000001</v>
      </c>
      <c r="G173">
        <v>2.0372233E-3</v>
      </c>
      <c r="H173" s="1">
        <v>1.0130649E-5</v>
      </c>
      <c r="I173" s="1">
        <v>3.4786920999999997E-8</v>
      </c>
      <c r="J173" s="1">
        <v>1.1706752E-5</v>
      </c>
      <c r="K173" s="1">
        <v>3.856604E-7</v>
      </c>
      <c r="L173">
        <v>2.4355835999999999E-2</v>
      </c>
      <c r="M173" s="1">
        <v>9.8460038E-5</v>
      </c>
      <c r="N173">
        <v>-1.5190627000000001</v>
      </c>
      <c r="O173">
        <v>4.0092492000000004E-3</v>
      </c>
      <c r="P173" s="1">
        <v>1.9721070000000001E-8</v>
      </c>
      <c r="Q173" t="s">
        <v>187</v>
      </c>
      <c r="R173">
        <v>1.0811556999999999E-3</v>
      </c>
      <c r="S173" s="1">
        <v>1.9833642000000001E-5</v>
      </c>
    </row>
    <row r="174" spans="1:19" x14ac:dyDescent="0.2">
      <c r="A174" t="s">
        <v>364</v>
      </c>
      <c r="B174">
        <v>3.5217000000000001</v>
      </c>
      <c r="C174" t="s">
        <v>365</v>
      </c>
      <c r="D174" s="1">
        <v>727081120</v>
      </c>
      <c r="E174">
        <v>5597.4255000000003</v>
      </c>
      <c r="F174">
        <v>0.20174538</v>
      </c>
      <c r="G174">
        <v>1.9969600999999999E-3</v>
      </c>
      <c r="H174" s="1">
        <v>1.0210982999999999E-5</v>
      </c>
      <c r="I174" s="1">
        <v>3.4251015999999999E-8</v>
      </c>
      <c r="J174" s="1">
        <v>1.2077479999999999E-5</v>
      </c>
      <c r="K174" s="1">
        <v>3.7291033999999998E-7</v>
      </c>
      <c r="L174">
        <v>2.3959834999999999E-2</v>
      </c>
      <c r="M174">
        <v>1.3958570000000001E-4</v>
      </c>
      <c r="N174">
        <v>-1.488151</v>
      </c>
      <c r="O174">
        <v>3.9145083000000002E-3</v>
      </c>
      <c r="P174" s="1">
        <v>1.9938330999999999E-8</v>
      </c>
      <c r="Q174" s="1">
        <v>1.4411793E-10</v>
      </c>
      <c r="R174">
        <v>9.6761871000000004E-4</v>
      </c>
      <c r="S174" s="1">
        <v>1.9108492E-5</v>
      </c>
    </row>
    <row r="175" spans="1:19" x14ac:dyDescent="0.2">
      <c r="A175" t="s">
        <v>366</v>
      </c>
      <c r="B175">
        <v>3.5217000000000001</v>
      </c>
      <c r="C175" t="s">
        <v>367</v>
      </c>
      <c r="D175" s="1">
        <v>727098160</v>
      </c>
      <c r="E175">
        <v>5890.9274999999998</v>
      </c>
      <c r="F175">
        <v>0.19957068</v>
      </c>
      <c r="G175">
        <v>1.9179977999999999E-3</v>
      </c>
      <c r="H175" s="1">
        <v>1.0194671E-5</v>
      </c>
      <c r="I175" s="1">
        <v>3.3100813000000003E-8</v>
      </c>
      <c r="J175" s="1">
        <v>1.1666309999999999E-5</v>
      </c>
      <c r="K175" s="1">
        <v>3.6611657999999998E-7</v>
      </c>
      <c r="L175">
        <v>2.4021291E-2</v>
      </c>
      <c r="M175" s="1">
        <v>9.1905816000000001E-5</v>
      </c>
      <c r="N175">
        <v>-1.4931768000000001</v>
      </c>
      <c r="O175">
        <v>3.7957936999999998E-3</v>
      </c>
      <c r="P175" s="1">
        <v>1.9711741000000002E-8</v>
      </c>
      <c r="Q175" t="s">
        <v>187</v>
      </c>
      <c r="R175">
        <v>1.0306444E-3</v>
      </c>
      <c r="S175" s="1">
        <v>1.8429540999999999E-5</v>
      </c>
    </row>
    <row r="176" spans="1:19" x14ac:dyDescent="0.2">
      <c r="A176" t="s">
        <v>368</v>
      </c>
      <c r="B176">
        <v>3.5217000000000001</v>
      </c>
      <c r="C176" t="s">
        <v>369</v>
      </c>
      <c r="D176" s="1">
        <v>727115870</v>
      </c>
      <c r="E176">
        <v>5590.5267000000003</v>
      </c>
      <c r="F176">
        <v>0.19382422999999999</v>
      </c>
      <c r="G176">
        <v>1.8869105000000001E-3</v>
      </c>
      <c r="H176" s="1">
        <v>1.0107494E-5</v>
      </c>
      <c r="I176" s="1">
        <v>3.3185846000000001E-8</v>
      </c>
      <c r="J176" s="1">
        <v>1.0984973E-5</v>
      </c>
      <c r="K176" s="1">
        <v>3.7866148999999998E-7</v>
      </c>
      <c r="L176">
        <v>2.3302811999999999E-2</v>
      </c>
      <c r="M176">
        <v>1.3358532E-4</v>
      </c>
      <c r="N176">
        <v>-1.4995236999999999</v>
      </c>
      <c r="O176">
        <v>3.8512786999999999E-3</v>
      </c>
      <c r="P176" s="1">
        <v>1.9977561000000001E-8</v>
      </c>
      <c r="Q176" s="1">
        <v>1.4212311999999999E-10</v>
      </c>
      <c r="R176">
        <v>1.1712376999999999E-3</v>
      </c>
      <c r="S176" s="1">
        <v>1.8442815E-5</v>
      </c>
    </row>
    <row r="177" spans="1:19" x14ac:dyDescent="0.2">
      <c r="A177" t="s">
        <v>370</v>
      </c>
      <c r="B177">
        <v>3.5217000000000001</v>
      </c>
      <c r="C177" t="s">
        <v>371</v>
      </c>
      <c r="D177" s="1">
        <v>726873530</v>
      </c>
      <c r="E177">
        <v>5867.9818999999998</v>
      </c>
      <c r="F177">
        <v>0.19596543999999999</v>
      </c>
      <c r="G177">
        <v>2.0232040999999998E-3</v>
      </c>
      <c r="H177" s="1">
        <v>1.0095570999999999E-5</v>
      </c>
      <c r="I177" s="1">
        <v>3.4745933999999998E-8</v>
      </c>
      <c r="J177" s="1">
        <v>9.8278053999999994E-6</v>
      </c>
      <c r="K177" s="1">
        <v>4.1350206999999998E-7</v>
      </c>
      <c r="L177">
        <v>2.4455009999999999E-2</v>
      </c>
      <c r="M177" s="1">
        <v>9.8374336999999999E-5</v>
      </c>
      <c r="N177">
        <v>-1.4891836000000001</v>
      </c>
      <c r="O177">
        <v>3.9906213000000003E-3</v>
      </c>
      <c r="P177" s="1">
        <v>1.9687543000000001E-8</v>
      </c>
      <c r="Q177" t="s">
        <v>187</v>
      </c>
      <c r="R177">
        <v>1.0996929999999999E-3</v>
      </c>
      <c r="S177" s="1">
        <v>1.9839909000000001E-5</v>
      </c>
    </row>
    <row r="178" spans="1:19" x14ac:dyDescent="0.2">
      <c r="A178" t="s">
        <v>372</v>
      </c>
      <c r="B178">
        <v>3.5217000000000001</v>
      </c>
      <c r="C178" t="s">
        <v>373</v>
      </c>
      <c r="D178" s="1">
        <v>727155240</v>
      </c>
      <c r="E178">
        <v>6355.8870999999999</v>
      </c>
      <c r="F178">
        <v>0.19967223000000001</v>
      </c>
      <c r="G178">
        <v>2.0711979000000002E-3</v>
      </c>
      <c r="H178" s="1">
        <v>1.0156075000000001E-5</v>
      </c>
      <c r="I178" s="1">
        <v>3.5443186999999999E-8</v>
      </c>
      <c r="J178" s="1">
        <v>1.1048886E-5</v>
      </c>
      <c r="K178" s="1">
        <v>4.0204509999999999E-7</v>
      </c>
      <c r="L178">
        <v>2.4314796E-2</v>
      </c>
      <c r="M178" s="1">
        <v>9.9493480999999993E-5</v>
      </c>
      <c r="N178">
        <v>-1.4975905</v>
      </c>
      <c r="O178">
        <v>4.0595559999999998E-3</v>
      </c>
      <c r="P178" s="1">
        <v>1.9781826999999999E-8</v>
      </c>
      <c r="Q178" t="s">
        <v>187</v>
      </c>
      <c r="R178">
        <v>9.0335233000000004E-4</v>
      </c>
      <c r="S178" s="1">
        <v>2.0059520000000001E-5</v>
      </c>
    </row>
    <row r="179" spans="1:19" x14ac:dyDescent="0.2">
      <c r="A179" t="s">
        <v>374</v>
      </c>
      <c r="B179">
        <v>3.5217000000000001</v>
      </c>
      <c r="C179" t="s">
        <v>375</v>
      </c>
      <c r="D179" s="1">
        <v>727062810</v>
      </c>
      <c r="E179">
        <v>5945.4925999999996</v>
      </c>
      <c r="F179">
        <v>0.19876724000000001</v>
      </c>
      <c r="G179">
        <v>2.0478304000000002E-3</v>
      </c>
      <c r="H179" s="1">
        <v>1.0097315999999999E-5</v>
      </c>
      <c r="I179" s="1">
        <v>3.5103101000000002E-8</v>
      </c>
      <c r="J179" s="1">
        <v>1.0921545E-5</v>
      </c>
      <c r="K179" s="1">
        <v>4.0144286000000003E-7</v>
      </c>
      <c r="L179">
        <v>2.4235138999999999E-2</v>
      </c>
      <c r="M179" s="1">
        <v>9.8791517000000004E-5</v>
      </c>
      <c r="N179">
        <v>-1.4803483</v>
      </c>
      <c r="O179">
        <v>4.0452149999999996E-3</v>
      </c>
      <c r="P179" s="1">
        <v>1.9874038999999999E-8</v>
      </c>
      <c r="Q179" t="s">
        <v>187</v>
      </c>
      <c r="R179">
        <v>1.0214041000000001E-3</v>
      </c>
      <c r="S179" s="1">
        <v>2.007451E-5</v>
      </c>
    </row>
    <row r="180" spans="1:19" x14ac:dyDescent="0.2">
      <c r="A180" t="s">
        <v>376</v>
      </c>
      <c r="B180">
        <v>3.5217000000000001</v>
      </c>
      <c r="C180" t="s">
        <v>377</v>
      </c>
      <c r="D180" s="1">
        <v>727376310</v>
      </c>
      <c r="E180">
        <v>5616.3804</v>
      </c>
      <c r="F180">
        <v>0.19816349</v>
      </c>
      <c r="G180">
        <v>1.9747390000000001E-3</v>
      </c>
      <c r="H180" s="1">
        <v>1.0155320000000001E-5</v>
      </c>
      <c r="I180" s="1">
        <v>3.4227345E-8</v>
      </c>
      <c r="J180" s="1">
        <v>1.1546676999999999E-5</v>
      </c>
      <c r="K180" s="1">
        <v>3.8141199999999997E-7</v>
      </c>
      <c r="L180">
        <v>2.3697631E-2</v>
      </c>
      <c r="M180">
        <v>1.3714645000000001E-4</v>
      </c>
      <c r="N180">
        <v>-1.5063447999999999</v>
      </c>
      <c r="O180">
        <v>3.8891603000000001E-3</v>
      </c>
      <c r="P180" s="1">
        <v>2.0295560000000001E-8</v>
      </c>
      <c r="Q180" s="1">
        <v>1.4610465E-10</v>
      </c>
      <c r="R180">
        <v>8.9298728E-4</v>
      </c>
      <c r="S180" s="1">
        <v>1.9113036999999999E-5</v>
      </c>
    </row>
    <row r="181" spans="1:19" x14ac:dyDescent="0.2">
      <c r="A181" t="s">
        <v>378</v>
      </c>
      <c r="B181">
        <v>3.5217000000000001</v>
      </c>
      <c r="C181" t="s">
        <v>379</v>
      </c>
      <c r="D181" s="1">
        <v>727186130</v>
      </c>
      <c r="E181">
        <v>5581.8059000000003</v>
      </c>
      <c r="F181">
        <v>0.20406857</v>
      </c>
      <c r="G181">
        <v>1.9328673999999999E-3</v>
      </c>
      <c r="H181" s="1">
        <v>1.0152522999999999E-5</v>
      </c>
      <c r="I181" s="1">
        <v>3.2972428000000003E-8</v>
      </c>
      <c r="J181" s="1">
        <v>1.2724701E-5</v>
      </c>
      <c r="K181" s="1">
        <v>3.5151314000000001E-7</v>
      </c>
      <c r="L181">
        <v>2.4110227000000001E-2</v>
      </c>
      <c r="M181">
        <v>1.3543333E-4</v>
      </c>
      <c r="N181">
        <v>-1.4826256</v>
      </c>
      <c r="O181">
        <v>3.7754860000000002E-3</v>
      </c>
      <c r="P181" s="1">
        <v>2.0075370999999999E-8</v>
      </c>
      <c r="Q181" s="1">
        <v>1.4006581000000001E-10</v>
      </c>
      <c r="R181">
        <v>1.2322444000000001E-3</v>
      </c>
      <c r="S181" s="1">
        <v>1.8717836000000001E-5</v>
      </c>
    </row>
    <row r="182" spans="1:19" x14ac:dyDescent="0.2">
      <c r="A182" t="s">
        <v>380</v>
      </c>
      <c r="B182">
        <v>3.5217000000000001</v>
      </c>
      <c r="C182" t="s">
        <v>381</v>
      </c>
      <c r="D182" s="1">
        <v>727321100</v>
      </c>
      <c r="E182">
        <v>6207.9018999999998</v>
      </c>
      <c r="F182">
        <v>0.20635956</v>
      </c>
      <c r="G182">
        <v>2.0681890999999998E-3</v>
      </c>
      <c r="H182" s="1">
        <v>1.0228099E-5</v>
      </c>
      <c r="I182" s="1">
        <v>3.4751318E-8</v>
      </c>
      <c r="J182" s="1">
        <v>1.2180641E-5</v>
      </c>
      <c r="K182" s="1">
        <v>3.7624266999999998E-7</v>
      </c>
      <c r="L182">
        <v>2.4713010000000001E-2</v>
      </c>
      <c r="M182" s="1">
        <v>9.9535736999999998E-5</v>
      </c>
      <c r="N182">
        <v>-1.5090539999999999</v>
      </c>
      <c r="O182">
        <v>3.9950031E-3</v>
      </c>
      <c r="P182" s="1">
        <v>1.9493812999999999E-8</v>
      </c>
      <c r="Q182" t="s">
        <v>187</v>
      </c>
      <c r="R182">
        <v>1.0165058000000001E-3</v>
      </c>
      <c r="S182" s="1">
        <v>1.9737391000000001E-5</v>
      </c>
    </row>
    <row r="183" spans="1:19" x14ac:dyDescent="0.2">
      <c r="A183" t="s">
        <v>382</v>
      </c>
      <c r="B183">
        <v>3.5217000000000001</v>
      </c>
      <c r="C183" t="s">
        <v>383</v>
      </c>
      <c r="D183" s="1">
        <v>727168760</v>
      </c>
      <c r="E183">
        <v>5852.6761999999999</v>
      </c>
      <c r="F183">
        <v>0.20666283999999999</v>
      </c>
      <c r="G183">
        <v>1.9980078999999999E-3</v>
      </c>
      <c r="H183" s="1">
        <v>1.0238032999999999E-5</v>
      </c>
      <c r="I183" s="1">
        <v>3.3348157999999999E-8</v>
      </c>
      <c r="J183" s="1">
        <v>1.1704424E-5</v>
      </c>
      <c r="K183" s="1">
        <v>3.6736951999999999E-7</v>
      </c>
      <c r="L183">
        <v>2.4340805E-2</v>
      </c>
      <c r="M183" s="1">
        <v>9.4816958999999998E-5</v>
      </c>
      <c r="N183">
        <v>-1.4963731</v>
      </c>
      <c r="O183">
        <v>3.8647162999999999E-3</v>
      </c>
      <c r="P183" s="1">
        <v>1.9804939000000001E-8</v>
      </c>
      <c r="Q183" t="s">
        <v>187</v>
      </c>
      <c r="R183">
        <v>1.011776E-3</v>
      </c>
      <c r="S183" s="1">
        <v>1.9029660999999998E-5</v>
      </c>
    </row>
    <row r="184" spans="1:19" x14ac:dyDescent="0.2">
      <c r="A184" t="s">
        <v>384</v>
      </c>
      <c r="B184">
        <v>3.5217000000000001</v>
      </c>
      <c r="C184" t="s">
        <v>385</v>
      </c>
      <c r="D184" s="1">
        <v>727207260</v>
      </c>
      <c r="E184">
        <v>6066.3627999999999</v>
      </c>
      <c r="F184">
        <v>0.19660901</v>
      </c>
      <c r="G184">
        <v>1.9446297E-3</v>
      </c>
      <c r="H184" s="1">
        <v>1.0092707E-5</v>
      </c>
      <c r="I184" s="1">
        <v>3.3333406999999999E-8</v>
      </c>
      <c r="J184" s="1">
        <v>9.9581148999999998E-6</v>
      </c>
      <c r="K184" s="1">
        <v>3.9490345999999997E-7</v>
      </c>
      <c r="L184">
        <v>2.4525696999999999E-2</v>
      </c>
      <c r="M184" s="1">
        <v>9.4731613999999998E-5</v>
      </c>
      <c r="N184">
        <v>-1.5038977</v>
      </c>
      <c r="O184">
        <v>3.8315826999999998E-3</v>
      </c>
      <c r="P184" s="1">
        <v>1.9651367E-8</v>
      </c>
      <c r="Q184" t="s">
        <v>187</v>
      </c>
      <c r="R184">
        <v>1.0463702000000001E-3</v>
      </c>
      <c r="S184" s="1">
        <v>1.9080641E-5</v>
      </c>
    </row>
    <row r="185" spans="1:19" x14ac:dyDescent="0.2">
      <c r="A185" t="s">
        <v>386</v>
      </c>
      <c r="B185">
        <v>3.5217000000000001</v>
      </c>
      <c r="C185" t="s">
        <v>387</v>
      </c>
      <c r="D185" s="1">
        <v>727123830</v>
      </c>
      <c r="E185">
        <v>6054.6354000000001</v>
      </c>
      <c r="F185">
        <v>0.19416259999999999</v>
      </c>
      <c r="G185">
        <v>2.0400525999999999E-3</v>
      </c>
      <c r="H185" s="1">
        <v>1.0075729999999999E-5</v>
      </c>
      <c r="I185" s="1">
        <v>3.5503072999999997E-8</v>
      </c>
      <c r="J185" s="1">
        <v>1.0228777E-5</v>
      </c>
      <c r="K185" s="1">
        <v>4.1692628000000002E-7</v>
      </c>
      <c r="L185">
        <v>2.4129919999999999E-2</v>
      </c>
      <c r="M185" s="1">
        <v>9.9311318999999998E-5</v>
      </c>
      <c r="N185">
        <v>-1.4826843000000001</v>
      </c>
      <c r="O185">
        <v>4.0839930999999998E-3</v>
      </c>
      <c r="P185" s="1">
        <v>1.9722652999999999E-8</v>
      </c>
      <c r="Q185" t="s">
        <v>187</v>
      </c>
      <c r="R185">
        <v>1.4231408999999999E-3</v>
      </c>
      <c r="S185" s="1">
        <v>2.0087389E-5</v>
      </c>
    </row>
    <row r="186" spans="1:19" x14ac:dyDescent="0.2">
      <c r="A186" t="s">
        <v>388</v>
      </c>
      <c r="B186">
        <v>3.5217000000000001</v>
      </c>
      <c r="C186" t="s">
        <v>389</v>
      </c>
      <c r="D186" s="1">
        <v>727359000</v>
      </c>
      <c r="E186">
        <v>6078.0003999999999</v>
      </c>
      <c r="F186">
        <v>0.19731666</v>
      </c>
      <c r="G186">
        <v>2.0073044999999999E-3</v>
      </c>
      <c r="H186" s="1">
        <v>1.0050293E-5</v>
      </c>
      <c r="I186" s="1">
        <v>3.4727417000000001E-8</v>
      </c>
      <c r="J186" s="1">
        <v>1.1190228999999999E-5</v>
      </c>
      <c r="K186" s="1">
        <v>3.9434073000000002E-7</v>
      </c>
      <c r="L186">
        <v>2.4120048000000002E-2</v>
      </c>
      <c r="M186" s="1">
        <v>9.8277019999999996E-5</v>
      </c>
      <c r="N186">
        <v>-1.4956206999999999</v>
      </c>
      <c r="O186">
        <v>4.0427661000000002E-3</v>
      </c>
      <c r="P186" s="1">
        <v>1.9668859E-8</v>
      </c>
      <c r="Q186" t="s">
        <v>187</v>
      </c>
      <c r="R186">
        <v>9.963664200000001E-4</v>
      </c>
      <c r="S186" s="1">
        <v>1.9869261999999999E-5</v>
      </c>
    </row>
    <row r="187" spans="1:19" x14ac:dyDescent="0.2">
      <c r="A187" t="s">
        <v>390</v>
      </c>
      <c r="B187">
        <v>3.5217000000000001</v>
      </c>
      <c r="C187" t="s">
        <v>391</v>
      </c>
      <c r="D187" s="1">
        <v>727156600</v>
      </c>
      <c r="E187">
        <v>5753.7389999999996</v>
      </c>
      <c r="F187">
        <v>0.19544449999999999</v>
      </c>
      <c r="G187">
        <v>1.9618214E-3</v>
      </c>
      <c r="H187" s="1">
        <v>1.007995E-5</v>
      </c>
      <c r="I187" s="1">
        <v>3.4075353999999999E-8</v>
      </c>
      <c r="J187" s="1">
        <v>1.0632678000000001E-5</v>
      </c>
      <c r="K187" s="1">
        <v>3.9423162999999999E-7</v>
      </c>
      <c r="L187">
        <v>2.3941760999999999E-2</v>
      </c>
      <c r="M187" s="1">
        <v>9.4815923000000004E-5</v>
      </c>
      <c r="N187">
        <v>-1.4849751</v>
      </c>
      <c r="O187">
        <v>3.9299583000000004E-3</v>
      </c>
      <c r="P187" s="1">
        <v>1.9888186999999999E-8</v>
      </c>
      <c r="Q187" t="s">
        <v>187</v>
      </c>
      <c r="R187">
        <v>1.0533128000000001E-3</v>
      </c>
      <c r="S187" s="1">
        <v>1.9300515E-5</v>
      </c>
    </row>
    <row r="188" spans="1:19" x14ac:dyDescent="0.2">
      <c r="A188" t="s">
        <v>392</v>
      </c>
      <c r="B188">
        <v>3.5217000000000001</v>
      </c>
      <c r="C188" t="s">
        <v>393</v>
      </c>
      <c r="D188" s="1">
        <v>727111310</v>
      </c>
      <c r="E188">
        <v>5725.8184000000001</v>
      </c>
      <c r="F188">
        <v>0.19775976000000001</v>
      </c>
      <c r="G188">
        <v>1.9528034000000001E-3</v>
      </c>
      <c r="H188" s="1">
        <v>1.0100159E-5</v>
      </c>
      <c r="I188" s="1">
        <v>3.3553797999999999E-8</v>
      </c>
      <c r="J188" s="1">
        <v>1.0676423E-5</v>
      </c>
      <c r="K188" s="1">
        <v>3.8712593000000001E-7</v>
      </c>
      <c r="L188">
        <v>2.4429494E-2</v>
      </c>
      <c r="M188" s="1">
        <v>9.4898531000000004E-5</v>
      </c>
      <c r="N188">
        <v>-1.4747705</v>
      </c>
      <c r="O188">
        <v>3.8550603000000001E-3</v>
      </c>
      <c r="P188" s="1">
        <v>1.9681137E-8</v>
      </c>
      <c r="Q188" t="s">
        <v>187</v>
      </c>
      <c r="R188">
        <v>1.0538711000000001E-3</v>
      </c>
      <c r="S188" s="1">
        <v>1.9131440000000001E-5</v>
      </c>
    </row>
    <row r="189" spans="1:19" x14ac:dyDescent="0.2">
      <c r="A189" t="s">
        <v>394</v>
      </c>
      <c r="B189">
        <v>3.5217000000000001</v>
      </c>
      <c r="C189" t="s">
        <v>395</v>
      </c>
      <c r="D189" s="1">
        <v>727572400</v>
      </c>
      <c r="E189">
        <v>5709.5402000000004</v>
      </c>
      <c r="F189">
        <v>0.19241370999999999</v>
      </c>
      <c r="G189">
        <v>1.8742252E-3</v>
      </c>
      <c r="H189" s="1">
        <v>1.0071049E-5</v>
      </c>
      <c r="I189" s="1">
        <v>3.4115212E-8</v>
      </c>
      <c r="J189" s="1">
        <v>1.1671447999999999E-5</v>
      </c>
      <c r="K189" s="1">
        <v>3.6944145000000002E-7</v>
      </c>
      <c r="L189">
        <v>2.2826914E-2</v>
      </c>
      <c r="M189">
        <v>1.3552477E-4</v>
      </c>
      <c r="N189">
        <v>-0.83225231</v>
      </c>
      <c r="O189">
        <v>3.9973161000000004E-3</v>
      </c>
      <c r="P189" s="1">
        <v>2.0223819999999999E-8</v>
      </c>
      <c r="Q189" s="1">
        <v>1.5050342000000001E-10</v>
      </c>
      <c r="R189">
        <v>1.0190045E-3</v>
      </c>
      <c r="S189" s="1">
        <v>1.9151257999999999E-5</v>
      </c>
    </row>
    <row r="190" spans="1:19" x14ac:dyDescent="0.2">
      <c r="A190" t="s">
        <v>396</v>
      </c>
      <c r="B190">
        <v>3.5217000000000001</v>
      </c>
      <c r="C190" t="s">
        <v>397</v>
      </c>
      <c r="D190" s="1">
        <v>727489650</v>
      </c>
      <c r="E190">
        <v>5712.6857</v>
      </c>
      <c r="F190">
        <v>0.19603613</v>
      </c>
      <c r="G190">
        <v>1.9776325000000002E-3</v>
      </c>
      <c r="H190" s="1">
        <v>1.009555E-5</v>
      </c>
      <c r="I190" s="1">
        <v>3.4745683E-8</v>
      </c>
      <c r="J190" s="1">
        <v>1.1918841000000001E-5</v>
      </c>
      <c r="K190" s="1">
        <v>3.8322372000000001E-7</v>
      </c>
      <c r="L190">
        <v>2.3606058999999999E-2</v>
      </c>
      <c r="M190">
        <v>1.4009569999999999E-4</v>
      </c>
      <c r="N190">
        <v>-1.4945360000000001</v>
      </c>
      <c r="O190">
        <v>3.9886395999999998E-3</v>
      </c>
      <c r="P190" s="1">
        <v>1.9997118000000002E-8</v>
      </c>
      <c r="Q190" s="1">
        <v>1.4732109000000001E-10</v>
      </c>
      <c r="R190">
        <v>1.1470626999999999E-3</v>
      </c>
      <c r="S190" s="1">
        <v>1.9377086E-5</v>
      </c>
    </row>
    <row r="191" spans="1:19" x14ac:dyDescent="0.2">
      <c r="A191" t="s">
        <v>398</v>
      </c>
      <c r="B191">
        <v>3.5217000000000001</v>
      </c>
      <c r="C191" t="s">
        <v>399</v>
      </c>
      <c r="D191" s="1">
        <v>727319260</v>
      </c>
      <c r="E191">
        <v>6589.6040000000003</v>
      </c>
      <c r="F191">
        <v>0.20062034000000001</v>
      </c>
      <c r="G191">
        <v>2.1009886E-3</v>
      </c>
      <c r="H191" s="1">
        <v>1.0092387E-5</v>
      </c>
      <c r="I191" s="1">
        <v>3.5512715999999997E-8</v>
      </c>
      <c r="J191" s="1">
        <v>1.0512346E-5</v>
      </c>
      <c r="K191" s="1">
        <v>4.1237929000000001E-7</v>
      </c>
      <c r="L191">
        <v>2.4558766999999999E-2</v>
      </c>
      <c r="M191">
        <v>1.032071E-4</v>
      </c>
      <c r="N191">
        <v>-1.5137043999999999</v>
      </c>
      <c r="O191">
        <v>4.1680479000000001E-3</v>
      </c>
      <c r="P191" s="1">
        <v>1.9449204E-8</v>
      </c>
      <c r="Q191" t="s">
        <v>187</v>
      </c>
      <c r="R191">
        <v>1.0917506E-3</v>
      </c>
      <c r="S191" s="1">
        <v>2.0615832000000001E-5</v>
      </c>
    </row>
    <row r="192" spans="1:19" x14ac:dyDescent="0.2">
      <c r="A192" t="s">
        <v>400</v>
      </c>
      <c r="B192">
        <v>3.5217000000000001</v>
      </c>
      <c r="C192" t="s">
        <v>401</v>
      </c>
      <c r="D192" s="1">
        <v>727608310</v>
      </c>
      <c r="E192">
        <v>5855.7046</v>
      </c>
      <c r="F192">
        <v>0.18901323</v>
      </c>
      <c r="G192">
        <v>1.9049322999999999E-3</v>
      </c>
      <c r="H192" s="1">
        <v>1.0026658E-5</v>
      </c>
      <c r="I192" s="1">
        <v>3.4245168000000001E-8</v>
      </c>
      <c r="J192" s="1">
        <v>1.0828377999999999E-5</v>
      </c>
      <c r="K192" s="1">
        <v>3.9460832999999999E-7</v>
      </c>
      <c r="L192">
        <v>2.3550651999999998E-2</v>
      </c>
      <c r="M192" s="1">
        <v>9.2930361999999997E-5</v>
      </c>
      <c r="N192">
        <v>-1.5286124999999999</v>
      </c>
      <c r="O192">
        <v>3.9140980000000004E-3</v>
      </c>
      <c r="P192" s="1">
        <v>1.9843408999999999E-8</v>
      </c>
      <c r="Q192" t="s">
        <v>187</v>
      </c>
      <c r="R192">
        <v>8.7660514000000001E-4</v>
      </c>
      <c r="S192" s="1">
        <v>1.8949018E-5</v>
      </c>
    </row>
    <row r="193" spans="1:19" x14ac:dyDescent="0.2">
      <c r="A193" t="s">
        <v>402</v>
      </c>
      <c r="B193">
        <v>3.5217000000000001</v>
      </c>
      <c r="C193" t="s">
        <v>403</v>
      </c>
      <c r="D193" s="1">
        <v>727501270</v>
      </c>
      <c r="E193">
        <v>5972.2133000000003</v>
      </c>
      <c r="F193">
        <v>0.20267309</v>
      </c>
      <c r="G193">
        <v>1.9442876E-3</v>
      </c>
      <c r="H193" s="1">
        <v>1.0229531000000001E-5</v>
      </c>
      <c r="I193" s="1">
        <v>3.3603542999999998E-8</v>
      </c>
      <c r="J193" s="1">
        <v>1.3052836999999999E-5</v>
      </c>
      <c r="K193" s="1">
        <v>3.5183250000000001E-7</v>
      </c>
      <c r="L193">
        <v>2.3419796999999999E-2</v>
      </c>
      <c r="M193" s="1">
        <v>9.2456582000000003E-5</v>
      </c>
      <c r="N193">
        <v>-1.5017327</v>
      </c>
      <c r="O193">
        <v>3.9171051999999998E-3</v>
      </c>
      <c r="P193" s="1">
        <v>1.9781615000000001E-8</v>
      </c>
      <c r="Q193" t="s">
        <v>187</v>
      </c>
      <c r="R193">
        <v>8.8487685999999997E-4</v>
      </c>
      <c r="S193" s="1">
        <v>1.8550043000000001E-5</v>
      </c>
    </row>
    <row r="194" spans="1:19" x14ac:dyDescent="0.2">
      <c r="A194" t="s">
        <v>404</v>
      </c>
      <c r="B194">
        <v>3.5217000000000001</v>
      </c>
      <c r="C194" t="s">
        <v>405</v>
      </c>
      <c r="D194" s="1">
        <v>727458920</v>
      </c>
      <c r="E194">
        <v>5948.7852000000003</v>
      </c>
      <c r="F194">
        <v>0.19908946999999999</v>
      </c>
      <c r="G194">
        <v>2.0430549999999998E-3</v>
      </c>
      <c r="H194" s="1">
        <v>1.0123967E-5</v>
      </c>
      <c r="I194" s="1">
        <v>3.5255323000000001E-8</v>
      </c>
      <c r="J194" s="1">
        <v>1.1595685E-5</v>
      </c>
      <c r="K194" s="1">
        <v>3.9263348000000001E-7</v>
      </c>
      <c r="L194">
        <v>2.4167444999999999E-2</v>
      </c>
      <c r="M194" s="1">
        <v>9.8747721000000001E-5</v>
      </c>
      <c r="N194">
        <v>-1.5083377</v>
      </c>
      <c r="O194">
        <v>4.0536690000000002E-3</v>
      </c>
      <c r="P194" s="1">
        <v>1.9738312000000001E-8</v>
      </c>
      <c r="Q194" t="s">
        <v>187</v>
      </c>
      <c r="R194">
        <v>1.2937661E-3</v>
      </c>
      <c r="S194" s="1">
        <v>1.9917827000000001E-5</v>
      </c>
    </row>
    <row r="195" spans="1:19" x14ac:dyDescent="0.2">
      <c r="A195" t="s">
        <v>406</v>
      </c>
      <c r="B195">
        <v>3.5217000000000001</v>
      </c>
      <c r="C195" t="s">
        <v>407</v>
      </c>
      <c r="D195" s="1">
        <v>727333540</v>
      </c>
      <c r="E195">
        <v>6078.9031000000004</v>
      </c>
      <c r="F195">
        <v>0.19671299</v>
      </c>
      <c r="G195">
        <v>1.9369268999999999E-3</v>
      </c>
      <c r="H195" s="1">
        <v>1.0112126E-5</v>
      </c>
      <c r="I195" s="1">
        <v>3.3657069999999997E-8</v>
      </c>
      <c r="J195" s="1">
        <v>1.1177624E-5</v>
      </c>
      <c r="K195" s="1">
        <v>3.8097474999999998E-7</v>
      </c>
      <c r="L195">
        <v>2.4224852000000002E-2</v>
      </c>
      <c r="M195" s="1">
        <v>9.5472484999999997E-5</v>
      </c>
      <c r="N195">
        <v>-1.5020392</v>
      </c>
      <c r="O195">
        <v>3.9093236999999999E-3</v>
      </c>
      <c r="P195" s="1">
        <v>1.9299070999999999E-8</v>
      </c>
      <c r="Q195" t="s">
        <v>187</v>
      </c>
      <c r="R195">
        <v>9.3996871999999995E-4</v>
      </c>
      <c r="S195" s="1">
        <v>1.8928515000000001E-5</v>
      </c>
    </row>
    <row r="196" spans="1:19" x14ac:dyDescent="0.2">
      <c r="A196" t="s">
        <v>408</v>
      </c>
      <c r="B196">
        <v>3.5217000000000001</v>
      </c>
      <c r="C196" t="s">
        <v>409</v>
      </c>
      <c r="D196" s="1">
        <v>727266920</v>
      </c>
      <c r="E196">
        <v>6038.1241</v>
      </c>
      <c r="F196">
        <v>0.20045957</v>
      </c>
      <c r="G196">
        <v>2.0250665E-3</v>
      </c>
      <c r="H196" s="1">
        <v>1.0131385E-5</v>
      </c>
      <c r="I196" s="1">
        <v>3.4853644000000001E-8</v>
      </c>
      <c r="J196" s="1">
        <v>1.1952005E-5</v>
      </c>
      <c r="K196" s="1">
        <v>3.828509E-7</v>
      </c>
      <c r="L196">
        <v>2.4164117999999998E-2</v>
      </c>
      <c r="M196" s="1">
        <v>9.8313256999999995E-5</v>
      </c>
      <c r="N196">
        <v>-1.4966767999999999</v>
      </c>
      <c r="O196">
        <v>4.0364516000000001E-3</v>
      </c>
      <c r="P196" s="1">
        <v>1.9602927E-8</v>
      </c>
      <c r="Q196" t="s">
        <v>187</v>
      </c>
      <c r="R196">
        <v>1.0763522000000001E-3</v>
      </c>
      <c r="S196" s="1">
        <v>1.9712107E-5</v>
      </c>
    </row>
    <row r="197" spans="1:19" x14ac:dyDescent="0.2">
      <c r="A197" t="s">
        <v>410</v>
      </c>
      <c r="B197">
        <v>3.5217000000000001</v>
      </c>
      <c r="C197" t="s">
        <v>411</v>
      </c>
      <c r="D197" s="1">
        <v>727467180</v>
      </c>
      <c r="E197">
        <v>6091.4834000000001</v>
      </c>
      <c r="F197">
        <v>0.19193847999999999</v>
      </c>
      <c r="G197">
        <v>1.8957621999999999E-3</v>
      </c>
      <c r="H197" s="1">
        <v>1.0013605E-5</v>
      </c>
      <c r="I197" s="1">
        <v>3.3596586999999997E-8</v>
      </c>
      <c r="J197" s="1">
        <v>1.0951804E-5</v>
      </c>
      <c r="K197" s="1">
        <v>3.8569626E-7</v>
      </c>
      <c r="L197">
        <v>2.4003287000000002E-2</v>
      </c>
      <c r="M197" s="1">
        <v>9.3793522000000003E-5</v>
      </c>
      <c r="N197">
        <v>-1.5024179</v>
      </c>
      <c r="O197">
        <v>3.8767339000000001E-3</v>
      </c>
      <c r="P197" s="1">
        <v>1.9536389999999999E-8</v>
      </c>
      <c r="Q197" t="s">
        <v>187</v>
      </c>
      <c r="R197">
        <v>9.5757416999999996E-4</v>
      </c>
      <c r="S197" s="1">
        <v>1.8908574999999999E-5</v>
      </c>
    </row>
    <row r="198" spans="1:19" x14ac:dyDescent="0.2">
      <c r="A198" t="s">
        <v>412</v>
      </c>
      <c r="B198">
        <v>3.5217000000000001</v>
      </c>
      <c r="C198" t="s">
        <v>413</v>
      </c>
      <c r="D198" s="1">
        <v>727249660</v>
      </c>
      <c r="E198">
        <v>5804.1268</v>
      </c>
      <c r="F198">
        <v>0.19903433000000001</v>
      </c>
      <c r="G198">
        <v>1.9417715000000001E-3</v>
      </c>
      <c r="H198" s="1">
        <v>1.0114959E-5</v>
      </c>
      <c r="I198" s="1">
        <v>3.3412350999999998E-8</v>
      </c>
      <c r="J198" s="1">
        <v>1.1341574000000001E-5</v>
      </c>
      <c r="K198" s="1">
        <v>3.7584981000000002E-7</v>
      </c>
      <c r="L198">
        <v>2.4215587E-2</v>
      </c>
      <c r="M198" s="1">
        <v>9.5012420000000007E-5</v>
      </c>
      <c r="N198">
        <v>-1.4746022000000001</v>
      </c>
      <c r="O198">
        <v>3.8937791E-3</v>
      </c>
      <c r="P198" s="1">
        <v>1.9462035E-8</v>
      </c>
      <c r="Q198" t="s">
        <v>187</v>
      </c>
      <c r="R198">
        <v>1.2478247E-3</v>
      </c>
      <c r="S198" s="1">
        <v>1.8965061999999998E-5</v>
      </c>
    </row>
    <row r="199" spans="1:19" x14ac:dyDescent="0.2">
      <c r="A199" t="s">
        <v>414</v>
      </c>
      <c r="B199">
        <v>3.5217000000000001</v>
      </c>
      <c r="C199" t="s">
        <v>415</v>
      </c>
      <c r="D199" s="1">
        <v>727585910</v>
      </c>
      <c r="E199">
        <v>6029.8362999999999</v>
      </c>
      <c r="F199">
        <v>0.19490447</v>
      </c>
      <c r="G199">
        <v>1.9571299E-3</v>
      </c>
      <c r="H199" s="1">
        <v>1.0103451E-5</v>
      </c>
      <c r="I199" s="1">
        <v>3.4487992999999999E-8</v>
      </c>
      <c r="J199" s="1">
        <v>1.1614585E-5</v>
      </c>
      <c r="K199" s="1">
        <v>3.8428991E-7</v>
      </c>
      <c r="L199">
        <v>2.3682526999999998E-2</v>
      </c>
      <c r="M199" s="1">
        <v>9.4976121999999994E-5</v>
      </c>
      <c r="N199">
        <v>-1.5092650000000001</v>
      </c>
      <c r="O199">
        <v>3.9788688999999999E-3</v>
      </c>
      <c r="P199" s="1">
        <v>1.9707758999999999E-8</v>
      </c>
      <c r="Q199" t="s">
        <v>187</v>
      </c>
      <c r="R199">
        <v>1.1612574999999999E-3</v>
      </c>
      <c r="S199" s="1">
        <v>1.9160898999999999E-5</v>
      </c>
    </row>
    <row r="200" spans="1:19" x14ac:dyDescent="0.2">
      <c r="A200" t="s">
        <v>416</v>
      </c>
      <c r="B200">
        <v>3.5217000000000001</v>
      </c>
      <c r="C200" t="s">
        <v>417</v>
      </c>
      <c r="D200" s="1">
        <v>727593820</v>
      </c>
      <c r="E200">
        <v>6012.3969999999999</v>
      </c>
      <c r="F200">
        <v>0.19823719000000001</v>
      </c>
      <c r="G200">
        <v>2.0187647E-3</v>
      </c>
      <c r="H200" s="1">
        <v>1.0121231E-5</v>
      </c>
      <c r="I200" s="1">
        <v>3.4974743000000001E-8</v>
      </c>
      <c r="J200" s="1">
        <v>1.1572717999999999E-5</v>
      </c>
      <c r="K200" s="1">
        <v>3.8990165000000002E-7</v>
      </c>
      <c r="L200">
        <v>2.3801434999999999E-2</v>
      </c>
      <c r="M200" s="1">
        <v>9.6983845000000001E-5</v>
      </c>
      <c r="N200">
        <v>-1.5034453999999999</v>
      </c>
      <c r="O200">
        <v>4.0433680999999999E-3</v>
      </c>
      <c r="P200" s="1">
        <v>1.9896867E-8</v>
      </c>
      <c r="Q200" t="s">
        <v>187</v>
      </c>
      <c r="R200">
        <v>1.4814111E-3</v>
      </c>
      <c r="S200" s="1">
        <v>1.9692386999999999E-5</v>
      </c>
    </row>
    <row r="201" spans="1:19" x14ac:dyDescent="0.2">
      <c r="A201" t="s">
        <v>418</v>
      </c>
      <c r="B201">
        <v>3.5217000000000001</v>
      </c>
      <c r="C201" t="s">
        <v>419</v>
      </c>
      <c r="D201" s="1">
        <v>727601700</v>
      </c>
      <c r="E201">
        <v>5836.5190000000002</v>
      </c>
      <c r="F201">
        <v>0.19276531</v>
      </c>
      <c r="G201">
        <v>1.8599939E-3</v>
      </c>
      <c r="H201" s="1">
        <v>1.0034333E-5</v>
      </c>
      <c r="I201" s="1">
        <v>3.2710887000000001E-8</v>
      </c>
      <c r="J201" s="1">
        <v>1.0606613E-5</v>
      </c>
      <c r="K201" s="1">
        <v>3.7981772999999999E-7</v>
      </c>
      <c r="L201">
        <v>2.3331043999999999E-2</v>
      </c>
      <c r="M201" s="1">
        <v>9.0617612999999993E-5</v>
      </c>
      <c r="N201">
        <v>-1.4906779999999999</v>
      </c>
      <c r="O201">
        <v>3.854882E-3</v>
      </c>
      <c r="P201" s="1">
        <v>1.9842846000000002E-8</v>
      </c>
      <c r="Q201" t="s">
        <v>187</v>
      </c>
      <c r="R201">
        <v>1.0561055000000001E-3</v>
      </c>
      <c r="S201" s="1">
        <v>1.8472508000000002E-5</v>
      </c>
    </row>
    <row r="202" spans="1:19" x14ac:dyDescent="0.2">
      <c r="A202" t="s">
        <v>420</v>
      </c>
      <c r="B202">
        <v>3.5217000000000001</v>
      </c>
      <c r="C202" t="s">
        <v>421</v>
      </c>
      <c r="D202" s="1">
        <v>727510170</v>
      </c>
      <c r="E202">
        <v>5936.1142</v>
      </c>
      <c r="F202">
        <v>0.19243526999999999</v>
      </c>
      <c r="G202">
        <v>1.8889505000000001E-3</v>
      </c>
      <c r="H202" s="1">
        <v>9.9837611000000008E-6</v>
      </c>
      <c r="I202" s="1">
        <v>3.3225117000000002E-8</v>
      </c>
      <c r="J202" s="1">
        <v>1.0574263E-5</v>
      </c>
      <c r="K202" s="1">
        <v>3.8739399999999998E-7</v>
      </c>
      <c r="L202">
        <v>2.3933644E-2</v>
      </c>
      <c r="M202" s="1">
        <v>9.3525975000000004E-5</v>
      </c>
      <c r="N202">
        <v>-1.4753533999999999</v>
      </c>
      <c r="O202">
        <v>3.8788764E-3</v>
      </c>
      <c r="P202" s="1">
        <v>1.9613472E-8</v>
      </c>
      <c r="Q202" t="s">
        <v>187</v>
      </c>
      <c r="R202">
        <v>1.2241018000000001E-3</v>
      </c>
      <c r="S202" s="1">
        <v>1.8958408999999999E-5</v>
      </c>
    </row>
    <row r="203" spans="1:19" x14ac:dyDescent="0.2">
      <c r="A203" t="s">
        <v>422</v>
      </c>
      <c r="B203">
        <v>3.5217000000000001</v>
      </c>
      <c r="C203" t="s">
        <v>423</v>
      </c>
      <c r="D203" s="1">
        <v>727594940</v>
      </c>
      <c r="E203">
        <v>6025.0340999999999</v>
      </c>
      <c r="F203">
        <v>0.20277418999999999</v>
      </c>
      <c r="G203">
        <v>1.9071906E-3</v>
      </c>
      <c r="H203" s="1">
        <v>1.0156687999999999E-5</v>
      </c>
      <c r="I203" s="1">
        <v>3.2538767E-8</v>
      </c>
      <c r="J203" s="1">
        <v>1.2135912E-5</v>
      </c>
      <c r="K203" s="1">
        <v>3.5441391999999999E-7</v>
      </c>
      <c r="L203">
        <v>2.4160741999999999E-2</v>
      </c>
      <c r="M203" s="1">
        <v>9.2563574999999994E-5</v>
      </c>
      <c r="N203">
        <v>-1.5038235</v>
      </c>
      <c r="O203">
        <v>3.8010905000000002E-3</v>
      </c>
      <c r="P203" s="1">
        <v>1.9524067999999999E-8</v>
      </c>
      <c r="Q203" t="s">
        <v>187</v>
      </c>
      <c r="R203">
        <v>1.0897370999999999E-3</v>
      </c>
      <c r="S203" s="1">
        <v>1.8468408999999999E-5</v>
      </c>
    </row>
    <row r="204" spans="1:19" x14ac:dyDescent="0.2">
      <c r="A204" t="s">
        <v>424</v>
      </c>
      <c r="B204">
        <v>3.5217000000000001</v>
      </c>
      <c r="C204" t="s">
        <v>425</v>
      </c>
      <c r="D204" s="1">
        <v>727172750</v>
      </c>
      <c r="E204">
        <v>5879.3716999999997</v>
      </c>
      <c r="F204">
        <v>0.19427291999999999</v>
      </c>
      <c r="G204">
        <v>1.8933524E-3</v>
      </c>
      <c r="H204" s="1">
        <v>1.0023298000000001E-5</v>
      </c>
      <c r="I204" s="1">
        <v>3.2880487999999997E-8</v>
      </c>
      <c r="J204" s="1">
        <v>1.0200811000000001E-5</v>
      </c>
      <c r="K204" s="1">
        <v>3.8769908999999999E-7</v>
      </c>
      <c r="L204">
        <v>2.4256452000000001E-2</v>
      </c>
      <c r="M204" s="1">
        <v>9.3610239999999996E-5</v>
      </c>
      <c r="N204">
        <v>-1.4743727</v>
      </c>
      <c r="O204">
        <v>3.8298067000000001E-3</v>
      </c>
      <c r="P204" s="1">
        <v>1.9517058000000001E-8</v>
      </c>
      <c r="Q204" t="s">
        <v>187</v>
      </c>
      <c r="R204">
        <v>1.1960497E-3</v>
      </c>
      <c r="S204" s="1">
        <v>1.8846422E-5</v>
      </c>
    </row>
    <row r="205" spans="1:19" x14ac:dyDescent="0.2">
      <c r="A205" t="s">
        <v>426</v>
      </c>
      <c r="B205">
        <v>3.5217000000000001</v>
      </c>
      <c r="C205" t="s">
        <v>427</v>
      </c>
      <c r="D205" s="1">
        <v>727560530</v>
      </c>
      <c r="E205">
        <v>6106.1907000000001</v>
      </c>
      <c r="F205">
        <v>0.19458845999999999</v>
      </c>
      <c r="G205">
        <v>1.9246424E-3</v>
      </c>
      <c r="H205" s="1">
        <v>1.0065852E-5</v>
      </c>
      <c r="I205" s="1">
        <v>3.3745232000000003E-8</v>
      </c>
      <c r="J205" s="1">
        <v>1.1142193000000001E-5</v>
      </c>
      <c r="K205" s="1">
        <v>3.8372838999999999E-7</v>
      </c>
      <c r="L205">
        <v>2.1794269000000002E-2</v>
      </c>
      <c r="M205">
        <v>1.3026699E-4</v>
      </c>
      <c r="N205">
        <v>-1.4901051000000001</v>
      </c>
      <c r="O205">
        <v>4.0214222000000003E-3</v>
      </c>
      <c r="P205" s="1">
        <v>2.1291735000000001E-8</v>
      </c>
      <c r="Q205" s="1">
        <v>1.5940458999999999E-10</v>
      </c>
      <c r="R205">
        <v>1.157868E-3</v>
      </c>
      <c r="S205" s="1">
        <v>1.8976487000000001E-5</v>
      </c>
    </row>
    <row r="206" spans="1:19" x14ac:dyDescent="0.2">
      <c r="A206" t="s">
        <v>428</v>
      </c>
      <c r="B206">
        <v>3.5217000000000001</v>
      </c>
      <c r="C206" t="s">
        <v>429</v>
      </c>
      <c r="D206" s="1">
        <v>727484300</v>
      </c>
      <c r="E206">
        <v>6111.3576000000003</v>
      </c>
      <c r="F206">
        <v>0.19689539</v>
      </c>
      <c r="G206">
        <v>1.9718343000000001E-3</v>
      </c>
      <c r="H206" s="1">
        <v>1.0148527E-5</v>
      </c>
      <c r="I206" s="1">
        <v>3.4232513E-8</v>
      </c>
      <c r="J206" s="1">
        <v>1.1100249999999999E-5</v>
      </c>
      <c r="K206" s="1">
        <v>3.8774845E-7</v>
      </c>
      <c r="L206">
        <v>2.3617748000000001E-2</v>
      </c>
      <c r="M206" s="1">
        <v>9.4815317999999996E-5</v>
      </c>
      <c r="N206">
        <v>-1.5013654999999999</v>
      </c>
      <c r="O206">
        <v>3.9833853000000004E-3</v>
      </c>
      <c r="P206" s="1">
        <v>1.9781041E-8</v>
      </c>
      <c r="Q206" t="s">
        <v>187</v>
      </c>
      <c r="R206">
        <v>9.1550976E-4</v>
      </c>
      <c r="S206" s="1">
        <v>1.9126802999999999E-5</v>
      </c>
    </row>
    <row r="207" spans="1:19" x14ac:dyDescent="0.2">
      <c r="A207" t="s">
        <v>430</v>
      </c>
      <c r="B207">
        <v>3.5217000000000001</v>
      </c>
      <c r="C207" t="s">
        <v>431</v>
      </c>
      <c r="D207" s="1">
        <v>727489400</v>
      </c>
      <c r="E207">
        <v>6076.4029</v>
      </c>
      <c r="F207">
        <v>0.19074157999999999</v>
      </c>
      <c r="G207">
        <v>1.9453433000000001E-3</v>
      </c>
      <c r="H207" s="1">
        <v>1.0015007000000001E-5</v>
      </c>
      <c r="I207" s="1">
        <v>3.4477043000000002E-8</v>
      </c>
      <c r="J207" s="1">
        <v>1.0393892E-5</v>
      </c>
      <c r="K207" s="1">
        <v>4.0388206E-7</v>
      </c>
      <c r="L207">
        <v>2.3397708999999999E-2</v>
      </c>
      <c r="M207" s="1">
        <v>9.4884266999999999E-5</v>
      </c>
      <c r="N207">
        <v>-1.4903244</v>
      </c>
      <c r="O207">
        <v>4.0247062000000004E-3</v>
      </c>
      <c r="P207" s="1">
        <v>1.9881665000000001E-8</v>
      </c>
      <c r="Q207" t="s">
        <v>187</v>
      </c>
      <c r="R207">
        <v>9.2309966999999996E-4</v>
      </c>
      <c r="S207" s="1">
        <v>1.9398025000000001E-5</v>
      </c>
    </row>
    <row r="208" spans="1:19" x14ac:dyDescent="0.2">
      <c r="A208" t="s">
        <v>432</v>
      </c>
      <c r="B208">
        <v>3.5217000000000001</v>
      </c>
      <c r="C208" t="s">
        <v>433</v>
      </c>
      <c r="D208" s="1">
        <v>727341060</v>
      </c>
      <c r="E208">
        <v>5933.6945999999998</v>
      </c>
      <c r="F208">
        <v>0.19331023</v>
      </c>
      <c r="G208">
        <v>1.8843851E-3</v>
      </c>
      <c r="H208" s="1">
        <v>1.0064156000000001E-5</v>
      </c>
      <c r="I208" s="1">
        <v>3.3037321999999997E-8</v>
      </c>
      <c r="J208" s="1">
        <v>1.0520325999999999E-5</v>
      </c>
      <c r="K208" s="1">
        <v>3.8414937999999998E-7</v>
      </c>
      <c r="L208">
        <v>2.3642415999999999E-2</v>
      </c>
      <c r="M208" s="1">
        <v>9.2134636000000002E-5</v>
      </c>
      <c r="N208">
        <v>-1.4884538</v>
      </c>
      <c r="O208">
        <v>3.8670328000000001E-3</v>
      </c>
      <c r="P208" s="1">
        <v>1.9653735E-8</v>
      </c>
      <c r="Q208" t="s">
        <v>187</v>
      </c>
      <c r="R208">
        <v>1.0460999000000001E-3</v>
      </c>
      <c r="S208" s="1">
        <v>1.859901E-5</v>
      </c>
    </row>
    <row r="209" spans="1:19" x14ac:dyDescent="0.2">
      <c r="A209" t="s">
        <v>434</v>
      </c>
      <c r="B209">
        <v>3.5217000000000001</v>
      </c>
      <c r="C209" t="s">
        <v>435</v>
      </c>
      <c r="D209" s="1">
        <v>727178530</v>
      </c>
      <c r="E209">
        <v>6361.4447</v>
      </c>
      <c r="F209">
        <v>0.18977115999999999</v>
      </c>
      <c r="G209">
        <v>1.8948458000000001E-3</v>
      </c>
      <c r="H209" s="1">
        <v>1.0060585000000001E-5</v>
      </c>
      <c r="I209" s="1">
        <v>3.3475872E-8</v>
      </c>
      <c r="J209" s="1">
        <v>9.5980866000000002E-6</v>
      </c>
      <c r="K209" s="1">
        <v>4.0273804999999999E-7</v>
      </c>
      <c r="L209">
        <v>2.2772008999999999E-2</v>
      </c>
      <c r="M209">
        <v>1.3288648999999999E-4</v>
      </c>
      <c r="N209">
        <v>-1.4548496</v>
      </c>
      <c r="O209">
        <v>3.9252449000000003E-3</v>
      </c>
      <c r="P209" s="1">
        <v>2.0365128999999999E-8</v>
      </c>
      <c r="Q209" s="1">
        <v>1.4794908E-10</v>
      </c>
      <c r="R209">
        <v>9.5094768000000005E-4</v>
      </c>
      <c r="S209" s="1">
        <v>1.8701044E-5</v>
      </c>
    </row>
    <row r="210" spans="1:19" x14ac:dyDescent="0.2">
      <c r="A210" t="s">
        <v>436</v>
      </c>
      <c r="B210">
        <v>3.5217000000000001</v>
      </c>
      <c r="C210" t="s">
        <v>437</v>
      </c>
      <c r="D210" s="1">
        <v>727430880</v>
      </c>
      <c r="E210">
        <v>6444.7232999999997</v>
      </c>
      <c r="F210">
        <v>0.19436004000000001</v>
      </c>
      <c r="G210">
        <v>1.9234672E-3</v>
      </c>
      <c r="H210" s="1">
        <v>1.0086036999999999E-5</v>
      </c>
      <c r="I210" s="1">
        <v>3.3430303000000003E-8</v>
      </c>
      <c r="J210" s="1">
        <v>1.0183274E-5</v>
      </c>
      <c r="K210" s="1">
        <v>3.9301121999999998E-7</v>
      </c>
      <c r="L210">
        <v>2.4258076E-2</v>
      </c>
      <c r="M210" s="1">
        <v>9.5538527999999997E-5</v>
      </c>
      <c r="N210">
        <v>-1.4797353</v>
      </c>
      <c r="O210">
        <v>3.9081817E-3</v>
      </c>
      <c r="P210" s="1">
        <v>1.9196390000000001E-8</v>
      </c>
      <c r="Q210" t="s">
        <v>187</v>
      </c>
      <c r="R210">
        <v>1.1364572000000001E-3</v>
      </c>
      <c r="S210" s="1">
        <v>1.8898257000000001E-5</v>
      </c>
    </row>
    <row r="211" spans="1:19" x14ac:dyDescent="0.2">
      <c r="A211" t="s">
        <v>438</v>
      </c>
      <c r="B211">
        <v>3.5217000000000001</v>
      </c>
      <c r="C211" t="s">
        <v>439</v>
      </c>
      <c r="D211" s="1">
        <v>727613320</v>
      </c>
      <c r="E211">
        <v>5579.1534000000001</v>
      </c>
      <c r="F211">
        <v>0.19406343000000001</v>
      </c>
      <c r="G211">
        <v>1.8743684000000001E-3</v>
      </c>
      <c r="H211" s="1">
        <v>1.0124817999999999E-5</v>
      </c>
      <c r="I211" s="1">
        <v>3.3293971000000001E-8</v>
      </c>
      <c r="J211" s="1">
        <v>1.1929246999999999E-5</v>
      </c>
      <c r="K211" s="1">
        <v>3.6641947999999999E-7</v>
      </c>
      <c r="L211">
        <v>2.2878791999999998E-2</v>
      </c>
      <c r="M211">
        <v>1.3198788999999999E-4</v>
      </c>
      <c r="N211">
        <v>-1.4954925999999999</v>
      </c>
      <c r="O211">
        <v>3.8776534000000001E-3</v>
      </c>
      <c r="P211" s="1">
        <v>2.0045249999999999E-8</v>
      </c>
      <c r="Q211" s="1">
        <v>1.4360615E-10</v>
      </c>
      <c r="R211">
        <v>1.3703345999999999E-3</v>
      </c>
      <c r="S211" s="1">
        <v>1.8254918E-5</v>
      </c>
    </row>
    <row r="212" spans="1:19" x14ac:dyDescent="0.2">
      <c r="A212" t="s">
        <v>440</v>
      </c>
      <c r="B212">
        <v>3.5217000000000001</v>
      </c>
      <c r="C212" t="s">
        <v>441</v>
      </c>
      <c r="D212" s="1">
        <v>727587000</v>
      </c>
      <c r="E212">
        <v>5874.0625</v>
      </c>
      <c r="F212">
        <v>0.19162166999999999</v>
      </c>
      <c r="G212">
        <v>1.8987933000000001E-3</v>
      </c>
      <c r="H212" s="1">
        <v>1.0079467E-5</v>
      </c>
      <c r="I212" s="1">
        <v>3.3536640999999999E-8</v>
      </c>
      <c r="J212" s="1">
        <v>1.0364651E-5</v>
      </c>
      <c r="K212" s="1">
        <v>3.9181878999999998E-7</v>
      </c>
      <c r="L212">
        <v>2.3353203999999999E-2</v>
      </c>
      <c r="M212" s="1">
        <v>9.2931107000000001E-5</v>
      </c>
      <c r="N212">
        <v>-1.4896852</v>
      </c>
      <c r="O212">
        <v>3.9491472000000001E-3</v>
      </c>
      <c r="P212" s="1">
        <v>1.9576024E-8</v>
      </c>
      <c r="Q212" t="s">
        <v>187</v>
      </c>
      <c r="R212">
        <v>9.5433235999999998E-4</v>
      </c>
      <c r="S212" s="1">
        <v>1.8681835E-5</v>
      </c>
    </row>
    <row r="213" spans="1:19" x14ac:dyDescent="0.2">
      <c r="A213" t="s">
        <v>442</v>
      </c>
      <c r="B213">
        <v>3.5217000000000001</v>
      </c>
      <c r="C213" t="s">
        <v>443</v>
      </c>
      <c r="D213" s="1">
        <v>727353060</v>
      </c>
      <c r="E213">
        <v>5700.6117000000004</v>
      </c>
      <c r="F213">
        <v>0.19606077999999999</v>
      </c>
      <c r="G213">
        <v>1.8719177999999999E-3</v>
      </c>
      <c r="H213" s="1">
        <v>1.0102492E-5</v>
      </c>
      <c r="I213" s="1">
        <v>3.2661924000000001E-8</v>
      </c>
      <c r="J213" s="1">
        <v>1.1266905000000001E-5</v>
      </c>
      <c r="K213" s="1">
        <v>3.6869028999999999E-7</v>
      </c>
      <c r="L213">
        <v>2.3546594000000001E-2</v>
      </c>
      <c r="M213" s="1">
        <v>9.0561774999999996E-5</v>
      </c>
      <c r="N213">
        <v>-1.485231</v>
      </c>
      <c r="O213">
        <v>3.816893E-3</v>
      </c>
      <c r="P213" s="1">
        <v>1.9784332E-8</v>
      </c>
      <c r="Q213" t="s">
        <v>187</v>
      </c>
      <c r="R213">
        <v>1.0602404E-3</v>
      </c>
      <c r="S213" s="1">
        <v>1.8330372999999999E-5</v>
      </c>
    </row>
    <row r="214" spans="1:19" x14ac:dyDescent="0.2">
      <c r="A214" t="s">
        <v>444</v>
      </c>
      <c r="B214">
        <v>3.5217000000000001</v>
      </c>
      <c r="C214" t="s">
        <v>445</v>
      </c>
      <c r="D214" s="1">
        <v>727497760</v>
      </c>
      <c r="E214">
        <v>6080.5367999999999</v>
      </c>
      <c r="F214">
        <v>0.18987694999999999</v>
      </c>
      <c r="G214">
        <v>1.8271355000000001E-3</v>
      </c>
      <c r="H214" s="1">
        <v>1.0005755E-5</v>
      </c>
      <c r="I214" s="1">
        <v>3.2433288999999999E-8</v>
      </c>
      <c r="J214" s="1">
        <v>1.0186535000000001E-5</v>
      </c>
      <c r="K214" s="1">
        <v>3.8323964E-7</v>
      </c>
      <c r="L214">
        <v>2.2189402E-2</v>
      </c>
      <c r="M214">
        <v>1.2699445999999999E-4</v>
      </c>
      <c r="N214">
        <v>-1.4707908999999999</v>
      </c>
      <c r="O214">
        <v>3.8505684000000001E-3</v>
      </c>
      <c r="P214" s="1">
        <v>2.0796552E-8</v>
      </c>
      <c r="Q214" s="1">
        <v>1.4861541999999999E-10</v>
      </c>
      <c r="R214">
        <v>1.0829305999999999E-3</v>
      </c>
      <c r="S214" s="1">
        <v>1.8240353E-5</v>
      </c>
    </row>
    <row r="215" spans="1:19" x14ac:dyDescent="0.2">
      <c r="A215" t="s">
        <v>446</v>
      </c>
      <c r="B215">
        <v>3.5217000000000001</v>
      </c>
      <c r="C215" t="s">
        <v>447</v>
      </c>
      <c r="D215" s="1">
        <v>727719370</v>
      </c>
      <c r="E215">
        <v>5995.6959999999999</v>
      </c>
      <c r="F215">
        <v>0.18635852</v>
      </c>
      <c r="G215">
        <v>1.8254587999999999E-3</v>
      </c>
      <c r="H215" s="1">
        <v>1.0062008E-5</v>
      </c>
      <c r="I215" s="1">
        <v>3.3065601999999999E-8</v>
      </c>
      <c r="J215" s="1">
        <v>1.0206069000000001E-5</v>
      </c>
      <c r="K215" s="1">
        <v>3.8916974999999998E-7</v>
      </c>
      <c r="L215">
        <v>2.1815938999999999E-2</v>
      </c>
      <c r="M215">
        <v>1.2624642999999999E-4</v>
      </c>
      <c r="N215">
        <v>-1.4710316000000001</v>
      </c>
      <c r="O215">
        <v>3.8938086000000001E-3</v>
      </c>
      <c r="P215" s="1">
        <v>2.0721054999999998E-8</v>
      </c>
      <c r="Q215" s="1">
        <v>1.4965506999999999E-10</v>
      </c>
      <c r="R215">
        <v>1.2053406E-3</v>
      </c>
      <c r="S215" s="1">
        <v>1.8011629000000001E-5</v>
      </c>
    </row>
    <row r="216" spans="1:19" x14ac:dyDescent="0.2">
      <c r="A216" t="s">
        <v>448</v>
      </c>
      <c r="B216">
        <v>3.5217000000000001</v>
      </c>
      <c r="C216" t="s">
        <v>449</v>
      </c>
      <c r="D216" s="1">
        <v>727607700</v>
      </c>
      <c r="E216">
        <v>6013.6360000000004</v>
      </c>
      <c r="F216">
        <v>0.19152005999999999</v>
      </c>
      <c r="G216">
        <v>1.8596492E-3</v>
      </c>
      <c r="H216" s="1">
        <v>1.0050408E-5</v>
      </c>
      <c r="I216" s="1">
        <v>3.3069583E-8</v>
      </c>
      <c r="J216" s="1">
        <v>1.1020972E-5</v>
      </c>
      <c r="K216" s="1">
        <v>3.7808731E-7</v>
      </c>
      <c r="L216">
        <v>2.1856090000000002E-2</v>
      </c>
      <c r="M216">
        <v>1.2815594999999999E-4</v>
      </c>
      <c r="N216">
        <v>-1.4701903000000001</v>
      </c>
      <c r="O216">
        <v>3.9455580000000001E-3</v>
      </c>
      <c r="P216" s="1">
        <v>2.0857813000000001E-8</v>
      </c>
      <c r="Q216" s="1">
        <v>1.5277820000000001E-10</v>
      </c>
      <c r="R216">
        <v>1.102918E-3</v>
      </c>
      <c r="S216" s="1">
        <v>1.8393433999999999E-5</v>
      </c>
    </row>
    <row r="217" spans="1:19" x14ac:dyDescent="0.2">
      <c r="A217" t="s">
        <v>450</v>
      </c>
      <c r="B217">
        <v>3.5217000000000001</v>
      </c>
      <c r="C217" t="s">
        <v>451</v>
      </c>
      <c r="D217" s="1">
        <v>727901390</v>
      </c>
      <c r="E217">
        <v>5841.9295000000002</v>
      </c>
      <c r="F217">
        <v>0.19577843</v>
      </c>
      <c r="G217">
        <v>1.8908834E-3</v>
      </c>
      <c r="H217" s="1">
        <v>1.0146235E-5</v>
      </c>
      <c r="I217" s="1">
        <v>3.2992288999999998E-8</v>
      </c>
      <c r="J217" s="1">
        <v>1.1087347E-5</v>
      </c>
      <c r="K217" s="1">
        <v>3.7418243000000001E-7</v>
      </c>
      <c r="L217">
        <v>2.3546203000000002E-2</v>
      </c>
      <c r="M217">
        <v>1.3353348999999999E-4</v>
      </c>
      <c r="N217">
        <v>-1.5186025000000001</v>
      </c>
      <c r="O217">
        <v>3.8105232000000002E-3</v>
      </c>
      <c r="P217" s="1">
        <v>1.9903909999999999E-8</v>
      </c>
      <c r="Q217" s="1">
        <v>1.4001478000000001E-10</v>
      </c>
      <c r="R217">
        <v>1.3009844E-3</v>
      </c>
      <c r="S217" s="1">
        <v>1.8334776E-5</v>
      </c>
    </row>
    <row r="218" spans="1:19" x14ac:dyDescent="0.2">
      <c r="A218" t="s">
        <v>452</v>
      </c>
      <c r="B218">
        <v>3.5217000000000001</v>
      </c>
      <c r="C218" t="s">
        <v>453</v>
      </c>
      <c r="D218" s="1">
        <v>727558490</v>
      </c>
      <c r="E218">
        <v>5889.6265999999996</v>
      </c>
      <c r="F218">
        <v>0.1976377</v>
      </c>
      <c r="G218">
        <v>1.9157828E-3</v>
      </c>
      <c r="H218" s="1">
        <v>1.0083457E-5</v>
      </c>
      <c r="I218" s="1">
        <v>3.2987707E-8</v>
      </c>
      <c r="J218" s="1">
        <v>1.0846175E-5</v>
      </c>
      <c r="K218" s="1">
        <v>3.7861423000000002E-7</v>
      </c>
      <c r="L218">
        <v>2.4100137000000001E-2</v>
      </c>
      <c r="M218" s="1">
        <v>9.4183054000000004E-5</v>
      </c>
      <c r="N218">
        <v>-1.4835522999999999</v>
      </c>
      <c r="O218">
        <v>3.8784406000000001E-3</v>
      </c>
      <c r="P218" s="1">
        <v>1.9452418999999999E-8</v>
      </c>
      <c r="Q218" t="s">
        <v>187</v>
      </c>
      <c r="R218">
        <v>1.2905734000000001E-3</v>
      </c>
      <c r="S218" s="1">
        <v>1.8833241E-5</v>
      </c>
    </row>
    <row r="219" spans="1:19" x14ac:dyDescent="0.2">
      <c r="A219" t="s">
        <v>454</v>
      </c>
      <c r="B219">
        <v>3.5217000000000001</v>
      </c>
      <c r="C219" t="s">
        <v>455</v>
      </c>
      <c r="D219" s="1">
        <v>727893800</v>
      </c>
      <c r="E219">
        <v>6133.7322000000004</v>
      </c>
      <c r="F219">
        <v>0.19558497</v>
      </c>
      <c r="G219">
        <v>1.9096536999999999E-3</v>
      </c>
      <c r="H219" s="1">
        <v>1.0031399000000001E-5</v>
      </c>
      <c r="I219" s="1">
        <v>3.3189225000000003E-8</v>
      </c>
      <c r="J219" s="1">
        <v>1.0853269E-5</v>
      </c>
      <c r="K219" s="1">
        <v>3.8199161000000001E-7</v>
      </c>
      <c r="L219">
        <v>2.3926791999999999E-2</v>
      </c>
      <c r="M219" s="1">
        <v>9.3913089000000004E-5</v>
      </c>
      <c r="N219">
        <v>-1.5106915000000001</v>
      </c>
      <c r="O219">
        <v>3.8946875000000001E-3</v>
      </c>
      <c r="P219" s="1">
        <v>1.9622474000000001E-8</v>
      </c>
      <c r="Q219" t="s">
        <v>187</v>
      </c>
      <c r="R219">
        <v>1.0953554E-3</v>
      </c>
      <c r="S219" s="1">
        <v>1.8976934000000001E-5</v>
      </c>
    </row>
    <row r="220" spans="1:19" x14ac:dyDescent="0.2">
      <c r="A220" t="s">
        <v>456</v>
      </c>
      <c r="B220">
        <v>3.5217000000000001</v>
      </c>
      <c r="C220" t="s">
        <v>457</v>
      </c>
      <c r="D220" s="1">
        <v>727798890</v>
      </c>
      <c r="E220">
        <v>6178.4092000000001</v>
      </c>
      <c r="F220">
        <v>0.19515178999999999</v>
      </c>
      <c r="G220">
        <v>1.9456407E-3</v>
      </c>
      <c r="H220" s="1">
        <v>1.007528E-5</v>
      </c>
      <c r="I220" s="1">
        <v>3.4139568000000001E-8</v>
      </c>
      <c r="J220" s="1">
        <v>1.1411026000000001E-5</v>
      </c>
      <c r="K220" s="1">
        <v>3.8394493000000003E-7</v>
      </c>
      <c r="L220">
        <v>2.3542989E-2</v>
      </c>
      <c r="M220" s="1">
        <v>9.5198482000000004E-5</v>
      </c>
      <c r="N220">
        <v>-1.5094715999999999</v>
      </c>
      <c r="O220">
        <v>4.0121497000000002E-3</v>
      </c>
      <c r="P220" s="1">
        <v>1.9599071999999999E-8</v>
      </c>
      <c r="Q220" t="s">
        <v>187</v>
      </c>
      <c r="R220">
        <v>9.2719980999999999E-4</v>
      </c>
      <c r="S220" s="1">
        <v>1.9159393999999998E-5</v>
      </c>
    </row>
    <row r="221" spans="1:19" x14ac:dyDescent="0.2">
      <c r="A221" t="s">
        <v>458</v>
      </c>
      <c r="B221">
        <v>3.5217000000000001</v>
      </c>
      <c r="C221" t="s">
        <v>459</v>
      </c>
      <c r="D221" s="1">
        <v>727591170</v>
      </c>
      <c r="E221">
        <v>6193.8504999999996</v>
      </c>
      <c r="F221">
        <v>0.19753107</v>
      </c>
      <c r="G221">
        <v>1.9012637000000001E-3</v>
      </c>
      <c r="H221" s="1">
        <v>1.0106791E-5</v>
      </c>
      <c r="I221" s="1">
        <v>3.2791575999999997E-8</v>
      </c>
      <c r="J221" s="1">
        <v>1.0894194999999999E-5</v>
      </c>
      <c r="K221" s="1">
        <v>3.7518133999999999E-7</v>
      </c>
      <c r="L221">
        <v>2.3887872000000001E-2</v>
      </c>
      <c r="M221" s="1">
        <v>9.2512664000000001E-5</v>
      </c>
      <c r="N221">
        <v>-1.4639206</v>
      </c>
      <c r="O221">
        <v>3.8451028999999999E-3</v>
      </c>
      <c r="P221" s="1">
        <v>1.9621153E-8</v>
      </c>
      <c r="Q221" t="s">
        <v>187</v>
      </c>
      <c r="R221">
        <v>9.9967637999999991E-4</v>
      </c>
      <c r="S221" s="1">
        <v>1.8600995999999999E-5</v>
      </c>
    </row>
    <row r="222" spans="1:19" x14ac:dyDescent="0.2">
      <c r="A222" t="s">
        <v>460</v>
      </c>
      <c r="B222">
        <v>3.5217000000000001</v>
      </c>
      <c r="C222" t="s">
        <v>461</v>
      </c>
      <c r="D222" s="1">
        <v>727940610</v>
      </c>
      <c r="E222">
        <v>6067.2308000000003</v>
      </c>
      <c r="F222">
        <v>0.20246349</v>
      </c>
      <c r="G222">
        <v>1.9596474999999999E-3</v>
      </c>
      <c r="H222" s="1">
        <v>1.0172374E-5</v>
      </c>
      <c r="I222" s="1">
        <v>3.3714415000000003E-8</v>
      </c>
      <c r="J222" s="1">
        <v>1.2693398000000001E-5</v>
      </c>
      <c r="K222" s="1">
        <v>3.5917107000000002E-7</v>
      </c>
      <c r="L222">
        <v>2.3635712E-2</v>
      </c>
      <c r="M222" s="1">
        <v>9.4137972999999998E-5</v>
      </c>
      <c r="N222">
        <v>-1.5087743</v>
      </c>
      <c r="O222">
        <v>3.9524225000000003E-3</v>
      </c>
      <c r="P222" s="1">
        <v>1.9722079000000002E-8</v>
      </c>
      <c r="Q222" t="s">
        <v>187</v>
      </c>
      <c r="R222">
        <v>1.2773151E-3</v>
      </c>
      <c r="S222" s="1">
        <v>1.891586E-5</v>
      </c>
    </row>
    <row r="223" spans="1:19" x14ac:dyDescent="0.2">
      <c r="A223" t="s">
        <v>462</v>
      </c>
      <c r="B223">
        <v>3.5217000000000001</v>
      </c>
      <c r="C223" t="s">
        <v>463</v>
      </c>
      <c r="D223" s="1">
        <v>727883180</v>
      </c>
      <c r="E223">
        <v>5942.7942999999996</v>
      </c>
      <c r="F223">
        <v>0.19905793999999999</v>
      </c>
      <c r="G223">
        <v>1.9640910999999999E-3</v>
      </c>
      <c r="H223" s="1">
        <v>1.0135819000000001E-5</v>
      </c>
      <c r="I223" s="1">
        <v>3.3889141000000002E-8</v>
      </c>
      <c r="J223" s="1">
        <v>1.1548473000000001E-5</v>
      </c>
      <c r="K223" s="1">
        <v>3.7782215999999998E-7</v>
      </c>
      <c r="L223">
        <v>2.4027333000000001E-2</v>
      </c>
      <c r="M223" s="1">
        <v>9.5850119999999994E-5</v>
      </c>
      <c r="N223">
        <v>-1.5051665999999999</v>
      </c>
      <c r="O223">
        <v>3.9584095999999997E-3</v>
      </c>
      <c r="P223" s="1">
        <v>1.9458228000000001E-8</v>
      </c>
      <c r="Q223" t="s">
        <v>187</v>
      </c>
      <c r="R223">
        <v>1.1823908E-3</v>
      </c>
      <c r="S223" s="1">
        <v>1.9100965E-5</v>
      </c>
    </row>
    <row r="224" spans="1:19" x14ac:dyDescent="0.2">
      <c r="A224" t="s">
        <v>464</v>
      </c>
      <c r="B224">
        <v>3.5217000000000001</v>
      </c>
      <c r="C224" t="s">
        <v>465</v>
      </c>
      <c r="D224" s="1">
        <v>727831980</v>
      </c>
      <c r="E224">
        <v>6425.3545000000004</v>
      </c>
      <c r="F224">
        <v>0.19554738999999999</v>
      </c>
      <c r="G224">
        <v>1.9838089E-3</v>
      </c>
      <c r="H224" s="1">
        <v>1.0084122000000001E-5</v>
      </c>
      <c r="I224" s="1">
        <v>3.4548551E-8</v>
      </c>
      <c r="J224" s="1">
        <v>1.0907534999999999E-5</v>
      </c>
      <c r="K224" s="1">
        <v>3.9562354000000002E-7</v>
      </c>
      <c r="L224">
        <v>2.4015788999999999E-2</v>
      </c>
      <c r="M224" s="1">
        <v>9.7781415E-5</v>
      </c>
      <c r="N224">
        <v>-1.5117048</v>
      </c>
      <c r="O224">
        <v>4.0394654E-3</v>
      </c>
      <c r="P224" s="1">
        <v>1.9390692999999999E-8</v>
      </c>
      <c r="Q224" t="s">
        <v>187</v>
      </c>
      <c r="R224">
        <v>1.1570733999999999E-3</v>
      </c>
      <c r="S224" s="1">
        <v>1.9499217000000001E-5</v>
      </c>
    </row>
    <row r="225" spans="1:19" x14ac:dyDescent="0.2">
      <c r="A225" t="s">
        <v>466</v>
      </c>
      <c r="B225">
        <v>3.5217000000000001</v>
      </c>
      <c r="C225" t="s">
        <v>467</v>
      </c>
      <c r="D225" s="1">
        <v>727654160</v>
      </c>
      <c r="E225">
        <v>5902.5036</v>
      </c>
      <c r="F225">
        <v>0.19896771999999999</v>
      </c>
      <c r="G225">
        <v>1.9371284999999999E-3</v>
      </c>
      <c r="H225" s="1">
        <v>1.0125231000000001E-5</v>
      </c>
      <c r="I225" s="1">
        <v>3.3330743000000003E-8</v>
      </c>
      <c r="J225" s="1">
        <v>1.1286014E-5</v>
      </c>
      <c r="K225" s="1">
        <v>3.7547643999999997E-7</v>
      </c>
      <c r="L225">
        <v>2.4030693999999998E-2</v>
      </c>
      <c r="M225" s="1">
        <v>9.4900757999999996E-5</v>
      </c>
      <c r="N225">
        <v>-1.4799471</v>
      </c>
      <c r="O225">
        <v>3.9196567000000003E-3</v>
      </c>
      <c r="P225" s="1">
        <v>1.9396301E-8</v>
      </c>
      <c r="Q225" t="s">
        <v>187</v>
      </c>
      <c r="R225">
        <v>1.4596304999999999E-3</v>
      </c>
      <c r="S225" s="1">
        <v>1.887968E-5</v>
      </c>
    </row>
    <row r="226" spans="1:19" x14ac:dyDescent="0.2">
      <c r="A226" t="s">
        <v>468</v>
      </c>
      <c r="B226">
        <v>3.5217000000000001</v>
      </c>
      <c r="C226" t="s">
        <v>469</v>
      </c>
      <c r="D226" s="1">
        <v>727910090</v>
      </c>
      <c r="E226">
        <v>5525.8783000000003</v>
      </c>
      <c r="F226">
        <v>0.19232036</v>
      </c>
      <c r="G226">
        <v>1.8935855000000001E-3</v>
      </c>
      <c r="H226" s="1">
        <v>1.0059549999999999E-5</v>
      </c>
      <c r="I226" s="1">
        <v>3.3503422000000001E-8</v>
      </c>
      <c r="J226" s="1">
        <v>1.0924712E-5</v>
      </c>
      <c r="K226" s="1">
        <v>3.8420251000000001E-7</v>
      </c>
      <c r="L226">
        <v>2.2794228999999999E-2</v>
      </c>
      <c r="M226">
        <v>1.3275927000000001E-4</v>
      </c>
      <c r="N226">
        <v>-1.5200396</v>
      </c>
      <c r="O226">
        <v>3.9147516000000004E-3</v>
      </c>
      <c r="P226" s="1">
        <v>2.0388716E-8</v>
      </c>
      <c r="Q226" s="1">
        <v>1.4781762000000001E-10</v>
      </c>
      <c r="R226">
        <v>8.3530142000000005E-4</v>
      </c>
      <c r="S226" s="1">
        <v>1.8693199999999999E-5</v>
      </c>
    </row>
    <row r="227" spans="1:19" x14ac:dyDescent="0.2">
      <c r="A227" t="s">
        <v>470</v>
      </c>
      <c r="B227">
        <v>3.5217000000000001</v>
      </c>
      <c r="C227" t="s">
        <v>471</v>
      </c>
      <c r="D227" s="1">
        <v>727889310</v>
      </c>
      <c r="E227">
        <v>6294.4331000000002</v>
      </c>
      <c r="F227">
        <v>0.19090048000000001</v>
      </c>
      <c r="G227">
        <v>1.9193140000000001E-3</v>
      </c>
      <c r="H227" s="1">
        <v>1.0007762E-5</v>
      </c>
      <c r="I227" s="1">
        <v>3.3827724999999999E-8</v>
      </c>
      <c r="J227" s="1">
        <v>9.9891175000000002E-6</v>
      </c>
      <c r="K227" s="1">
        <v>4.0228468000000001E-7</v>
      </c>
      <c r="L227">
        <v>2.406353E-2</v>
      </c>
      <c r="M227" s="1">
        <v>9.6096012000000002E-5</v>
      </c>
      <c r="N227">
        <v>-1.5008451</v>
      </c>
      <c r="O227">
        <v>3.9626382999999998E-3</v>
      </c>
      <c r="P227" s="1">
        <v>1.9264368000000001E-8</v>
      </c>
      <c r="Q227" t="s">
        <v>187</v>
      </c>
      <c r="R227">
        <v>1.0685402000000001E-3</v>
      </c>
      <c r="S227" s="1">
        <v>1.9166366E-5</v>
      </c>
    </row>
    <row r="228" spans="1:19" x14ac:dyDescent="0.2">
      <c r="A228" t="s">
        <v>472</v>
      </c>
      <c r="B228">
        <v>3.5217000000000001</v>
      </c>
      <c r="C228" t="s">
        <v>473</v>
      </c>
      <c r="D228" s="1">
        <v>727849940</v>
      </c>
      <c r="E228">
        <v>5822.2857999999997</v>
      </c>
      <c r="F228">
        <v>0.19730558000000001</v>
      </c>
      <c r="G228">
        <v>1.8798312000000001E-3</v>
      </c>
      <c r="H228" s="1">
        <v>1.0155576000000001E-5</v>
      </c>
      <c r="I228" s="1">
        <v>3.2635620999999997E-8</v>
      </c>
      <c r="J228" s="1">
        <v>1.1269554E-5</v>
      </c>
      <c r="K228" s="1">
        <v>3.6719905E-7</v>
      </c>
      <c r="L228">
        <v>2.3438111000000001E-2</v>
      </c>
      <c r="M228" s="1">
        <v>9.0403352999999994E-5</v>
      </c>
      <c r="N228">
        <v>-1.5022690000000001</v>
      </c>
      <c r="O228">
        <v>3.8278676999999998E-3</v>
      </c>
      <c r="P228" s="1">
        <v>1.9751231E-8</v>
      </c>
      <c r="Q228" t="s">
        <v>187</v>
      </c>
      <c r="R228">
        <v>9.0578675000000004E-4</v>
      </c>
      <c r="S228" s="1">
        <v>1.8208009E-5</v>
      </c>
    </row>
    <row r="229" spans="1:19" x14ac:dyDescent="0.2">
      <c r="A229" t="s">
        <v>474</v>
      </c>
      <c r="B229">
        <v>3.5217000000000001</v>
      </c>
      <c r="C229" t="s">
        <v>475</v>
      </c>
      <c r="D229" s="1">
        <v>727626620</v>
      </c>
      <c r="E229">
        <v>5831.0520999999999</v>
      </c>
      <c r="F229">
        <v>0.19544558000000001</v>
      </c>
      <c r="G229">
        <v>1.8817718E-3</v>
      </c>
      <c r="H229" s="1">
        <v>1.0101318E-5</v>
      </c>
      <c r="I229" s="1">
        <v>3.2758989999999999E-8</v>
      </c>
      <c r="J229" s="1">
        <v>1.0826925E-5</v>
      </c>
      <c r="K229" s="1">
        <v>3.7607909E-7</v>
      </c>
      <c r="L229">
        <v>2.1791158000000001E-2</v>
      </c>
      <c r="M229">
        <v>1.2750542000000001E-4</v>
      </c>
      <c r="N229">
        <v>-1.4414028999999999</v>
      </c>
      <c r="O229">
        <v>3.9402832000000002E-3</v>
      </c>
      <c r="P229" s="1">
        <v>2.1112228000000001E-8</v>
      </c>
      <c r="Q229" s="1">
        <v>1.5461036999999999E-10</v>
      </c>
      <c r="R229">
        <v>1.1835169E-3</v>
      </c>
      <c r="S229" s="1">
        <v>1.8417441999999999E-5</v>
      </c>
    </row>
    <row r="230" spans="1:19" x14ac:dyDescent="0.2">
      <c r="A230" t="s">
        <v>476</v>
      </c>
      <c r="B230">
        <v>3.5217000000000001</v>
      </c>
      <c r="C230" t="s">
        <v>477</v>
      </c>
      <c r="D230" s="1">
        <v>727841180</v>
      </c>
      <c r="E230">
        <v>6121.5933000000005</v>
      </c>
      <c r="F230">
        <v>0.19915862000000001</v>
      </c>
      <c r="G230">
        <v>1.9322244000000001E-3</v>
      </c>
      <c r="H230" s="1">
        <v>1.0128917E-5</v>
      </c>
      <c r="I230" s="1">
        <v>3.3358413000000003E-8</v>
      </c>
      <c r="J230" s="1">
        <v>1.1658010999999999E-5</v>
      </c>
      <c r="K230" s="1">
        <v>3.7054336999999998E-7</v>
      </c>
      <c r="L230">
        <v>2.3750902000000001E-2</v>
      </c>
      <c r="M230" s="1">
        <v>9.4586737000000001E-5</v>
      </c>
      <c r="N230">
        <v>-1.480729</v>
      </c>
      <c r="O230">
        <v>3.9531297000000003E-3</v>
      </c>
      <c r="P230" s="1">
        <v>1.9401659000000001E-8</v>
      </c>
      <c r="Q230" t="s">
        <v>187</v>
      </c>
      <c r="R230">
        <v>1.0189931E-3</v>
      </c>
      <c r="S230" s="1">
        <v>1.8817638000000002E-5</v>
      </c>
    </row>
    <row r="231" spans="1:19" x14ac:dyDescent="0.2">
      <c r="A231" t="s">
        <v>478</v>
      </c>
      <c r="B231">
        <v>3.5217000000000001</v>
      </c>
      <c r="C231" t="s">
        <v>479</v>
      </c>
      <c r="D231" s="1">
        <v>727790030</v>
      </c>
      <c r="E231">
        <v>6367.7088000000003</v>
      </c>
      <c r="F231">
        <v>0.19753014999999999</v>
      </c>
      <c r="G231">
        <v>1.9096466000000001E-3</v>
      </c>
      <c r="H231" s="1">
        <v>1.0098492E-5</v>
      </c>
      <c r="I231" s="1">
        <v>3.2673304999999999E-8</v>
      </c>
      <c r="J231" s="1">
        <v>1.020041E-5</v>
      </c>
      <c r="K231" s="1">
        <v>3.8359592999999997E-7</v>
      </c>
      <c r="L231">
        <v>2.4398052999999999E-2</v>
      </c>
      <c r="M231" s="1">
        <v>9.4489195999999999E-5</v>
      </c>
      <c r="N231">
        <v>-1.4755906999999999</v>
      </c>
      <c r="O231">
        <v>3.8442988000000002E-3</v>
      </c>
      <c r="P231" s="1">
        <v>1.9243502E-8</v>
      </c>
      <c r="Q231" t="s">
        <v>187</v>
      </c>
      <c r="R231">
        <v>1.3603128999999999E-3</v>
      </c>
      <c r="S231" s="1">
        <v>1.8714395000000001E-5</v>
      </c>
    </row>
    <row r="232" spans="1:19" x14ac:dyDescent="0.2">
      <c r="A232" t="s">
        <v>480</v>
      </c>
      <c r="B232">
        <v>3.5217000000000001</v>
      </c>
      <c r="C232" t="s">
        <v>481</v>
      </c>
      <c r="D232" s="1">
        <v>727883990</v>
      </c>
      <c r="E232">
        <v>5807.2196000000004</v>
      </c>
      <c r="F232">
        <v>0.19528366999999999</v>
      </c>
      <c r="G232">
        <v>1.8868002E-3</v>
      </c>
      <c r="H232" s="1">
        <v>1.0093097E-5</v>
      </c>
      <c r="I232" s="1">
        <v>3.2983749000000002E-8</v>
      </c>
      <c r="J232" s="1">
        <v>1.1103348000000001E-5</v>
      </c>
      <c r="K232" s="1">
        <v>3.7479107E-7</v>
      </c>
      <c r="L232">
        <v>2.3824647000000001E-2</v>
      </c>
      <c r="M232" s="1">
        <v>9.2095669000000002E-5</v>
      </c>
      <c r="N232">
        <v>-1.4834312000000001</v>
      </c>
      <c r="O232">
        <v>3.8373277E-3</v>
      </c>
      <c r="P232" s="1">
        <v>1.9592602000000001E-8</v>
      </c>
      <c r="Q232" t="s">
        <v>187</v>
      </c>
      <c r="R232">
        <v>1.1968349E-3</v>
      </c>
      <c r="S232" s="1">
        <v>1.8511691999999999E-5</v>
      </c>
    </row>
    <row r="233" spans="1:19" x14ac:dyDescent="0.2">
      <c r="A233" t="s">
        <v>482</v>
      </c>
      <c r="B233">
        <v>3.5217000000000001</v>
      </c>
      <c r="C233" t="s">
        <v>483</v>
      </c>
      <c r="D233" s="1">
        <v>727958890</v>
      </c>
      <c r="E233">
        <v>5732.2444999999998</v>
      </c>
      <c r="F233">
        <v>0.19399282000000001</v>
      </c>
      <c r="G233">
        <v>1.9020453000000001E-3</v>
      </c>
      <c r="H233" s="1">
        <v>1.0035227000000001E-5</v>
      </c>
      <c r="I233" s="1">
        <v>3.3237803000000003E-8</v>
      </c>
      <c r="J233" s="1">
        <v>1.0602504999999999E-5</v>
      </c>
      <c r="K233" s="1">
        <v>3.8597560999999998E-7</v>
      </c>
      <c r="L233">
        <v>2.3534454999999999E-2</v>
      </c>
      <c r="M233" s="1">
        <v>9.3038897000000006E-5</v>
      </c>
      <c r="N233">
        <v>-1.5077818000000001</v>
      </c>
      <c r="O233">
        <v>3.9232759000000002E-3</v>
      </c>
      <c r="P233" s="1">
        <v>1.9740722999999999E-8</v>
      </c>
      <c r="Q233" t="s">
        <v>187</v>
      </c>
      <c r="R233">
        <v>1.2033788E-3</v>
      </c>
      <c r="S233" s="1">
        <v>1.8886499E-5</v>
      </c>
    </row>
    <row r="234" spans="1:19" x14ac:dyDescent="0.2">
      <c r="A234" t="s">
        <v>484</v>
      </c>
      <c r="B234">
        <v>3.5217000000000001</v>
      </c>
      <c r="C234" t="s">
        <v>485</v>
      </c>
      <c r="D234" s="1">
        <v>728073210</v>
      </c>
      <c r="E234">
        <v>6032.9567999999999</v>
      </c>
      <c r="F234">
        <v>0.19523809</v>
      </c>
      <c r="G234">
        <v>1.9212208E-3</v>
      </c>
      <c r="H234" s="1">
        <v>1.0057177E-5</v>
      </c>
      <c r="I234" s="1">
        <v>3.3738927999999999E-8</v>
      </c>
      <c r="J234" s="1">
        <v>1.1560642000000001E-5</v>
      </c>
      <c r="K234" s="1">
        <v>3.7774346999999998E-7</v>
      </c>
      <c r="L234">
        <v>2.3509543000000001E-2</v>
      </c>
      <c r="M234" s="1">
        <v>9.3706051999999996E-5</v>
      </c>
      <c r="N234">
        <v>-1.5076915</v>
      </c>
      <c r="O234">
        <v>3.9558585000000002E-3</v>
      </c>
      <c r="P234" s="1">
        <v>1.9736403999999999E-8</v>
      </c>
      <c r="Q234" t="s">
        <v>187</v>
      </c>
      <c r="R234">
        <v>1.1273856000000001E-3</v>
      </c>
      <c r="S234" s="1">
        <v>1.8990218999999999E-5</v>
      </c>
    </row>
    <row r="235" spans="1:19" x14ac:dyDescent="0.2">
      <c r="A235" t="s">
        <v>486</v>
      </c>
      <c r="B235">
        <v>3.5217000000000001</v>
      </c>
      <c r="C235" t="s">
        <v>487</v>
      </c>
      <c r="D235" s="1">
        <v>727355310</v>
      </c>
      <c r="E235">
        <v>6030.2151000000003</v>
      </c>
      <c r="F235">
        <v>0.19483484000000001</v>
      </c>
      <c r="G235">
        <v>1.8620946999999999E-3</v>
      </c>
      <c r="H235" s="1">
        <v>1.0036209E-5</v>
      </c>
      <c r="I235" s="1">
        <v>3.2197219999999998E-8</v>
      </c>
      <c r="J235" s="1">
        <v>1.0043264000000001E-5</v>
      </c>
      <c r="K235" s="1">
        <v>3.8152237000000001E-7</v>
      </c>
      <c r="L235">
        <v>2.3936092999999999E-2</v>
      </c>
      <c r="M235" s="1">
        <v>9.2510344000000001E-5</v>
      </c>
      <c r="N235">
        <v>-1.4516648999999999</v>
      </c>
      <c r="O235">
        <v>3.8371376999999998E-3</v>
      </c>
      <c r="P235" s="1">
        <v>1.9350635999999999E-8</v>
      </c>
      <c r="Q235" t="s">
        <v>187</v>
      </c>
      <c r="R235">
        <v>1.0273674999999999E-3</v>
      </c>
      <c r="S235" s="1">
        <v>1.8485344000000001E-5</v>
      </c>
    </row>
    <row r="236" spans="1:19" x14ac:dyDescent="0.2">
      <c r="A236" t="s">
        <v>488</v>
      </c>
      <c r="B236">
        <v>3.5217000000000001</v>
      </c>
      <c r="C236" t="s">
        <v>489</v>
      </c>
      <c r="D236" s="1">
        <v>727870120</v>
      </c>
      <c r="E236">
        <v>6152.8603000000003</v>
      </c>
      <c r="F236">
        <v>0.19331132000000001</v>
      </c>
      <c r="G236">
        <v>1.8085162000000001E-3</v>
      </c>
      <c r="H236" s="1">
        <v>1.0039005E-5</v>
      </c>
      <c r="I236" s="1">
        <v>3.1743918000000003E-8</v>
      </c>
      <c r="J236" s="1">
        <v>1.0715120999999999E-5</v>
      </c>
      <c r="K236" s="1">
        <v>3.6726735999999998E-7</v>
      </c>
      <c r="L236">
        <v>2.2224751000000001E-2</v>
      </c>
      <c r="M236">
        <v>1.2515734E-4</v>
      </c>
      <c r="N236">
        <v>-1.4559956999999999</v>
      </c>
      <c r="O236">
        <v>3.7910117000000002E-3</v>
      </c>
      <c r="P236" s="1">
        <v>2.0779953E-8</v>
      </c>
      <c r="Q236" s="1">
        <v>1.4613143E-10</v>
      </c>
      <c r="R236">
        <v>9.4721970999999999E-4</v>
      </c>
      <c r="S236" s="1">
        <v>1.7929731E-5</v>
      </c>
    </row>
    <row r="237" spans="1:19" x14ac:dyDescent="0.2">
      <c r="A237" t="s">
        <v>490</v>
      </c>
      <c r="B237">
        <v>3.5217000000000001</v>
      </c>
      <c r="C237" t="s">
        <v>491</v>
      </c>
      <c r="D237" s="1">
        <v>727883060</v>
      </c>
      <c r="E237">
        <v>6360.7873</v>
      </c>
      <c r="F237">
        <v>0.19613701</v>
      </c>
      <c r="G237">
        <v>1.9767748E-3</v>
      </c>
      <c r="H237" s="1">
        <v>1.0082863999999999E-5</v>
      </c>
      <c r="I237" s="1">
        <v>3.4441204000000003E-8</v>
      </c>
      <c r="J237" s="1">
        <v>1.1254116999999999E-5</v>
      </c>
      <c r="K237" s="1">
        <v>3.8966808999999997E-7</v>
      </c>
      <c r="L237">
        <v>2.231969E-2</v>
      </c>
      <c r="M237">
        <v>1.3752938999999999E-4</v>
      </c>
      <c r="N237">
        <v>-1.4531499999999999</v>
      </c>
      <c r="O237">
        <v>4.1474759999999998E-3</v>
      </c>
      <c r="P237" s="1">
        <v>2.0482433E-8</v>
      </c>
      <c r="Q237" s="1">
        <v>1.5728551000000001E-10</v>
      </c>
      <c r="R237">
        <v>1.3215691999999999E-3</v>
      </c>
      <c r="S237" s="1">
        <v>1.9419934E-5</v>
      </c>
    </row>
    <row r="238" spans="1:19" x14ac:dyDescent="0.2">
      <c r="A238" t="s">
        <v>492</v>
      </c>
      <c r="B238">
        <v>3.5217000000000001</v>
      </c>
      <c r="C238" t="s">
        <v>493</v>
      </c>
      <c r="D238" s="1">
        <v>728066100</v>
      </c>
      <c r="E238">
        <v>6028.4318999999996</v>
      </c>
      <c r="F238">
        <v>0.19161454999999999</v>
      </c>
      <c r="G238">
        <v>1.7975285E-3</v>
      </c>
      <c r="H238" s="1">
        <v>9.9771846000000008E-6</v>
      </c>
      <c r="I238" s="1">
        <v>3.1610908999999998E-8</v>
      </c>
      <c r="J238" s="1">
        <v>1.0187944999999999E-5</v>
      </c>
      <c r="K238" s="1">
        <v>3.7390135000000001E-7</v>
      </c>
      <c r="L238">
        <v>2.3611296E-2</v>
      </c>
      <c r="M238" s="1">
        <v>8.9749059000000006E-5</v>
      </c>
      <c r="N238">
        <v>-1.4935130999999999</v>
      </c>
      <c r="O238">
        <v>3.7729434000000001E-3</v>
      </c>
      <c r="P238" s="1">
        <v>1.9430365E-8</v>
      </c>
      <c r="Q238" t="s">
        <v>187</v>
      </c>
      <c r="R238">
        <v>1.2993962E-3</v>
      </c>
      <c r="S238" s="1">
        <v>1.8065421999999998E-5</v>
      </c>
    </row>
    <row r="239" spans="1:19" x14ac:dyDescent="0.2">
      <c r="A239" t="s">
        <v>494</v>
      </c>
      <c r="B239">
        <v>3.5217000000000001</v>
      </c>
      <c r="C239" t="s">
        <v>495</v>
      </c>
      <c r="D239" s="1">
        <v>728012050</v>
      </c>
      <c r="E239">
        <v>5979.4035000000003</v>
      </c>
      <c r="F239">
        <v>0.19245876000000001</v>
      </c>
      <c r="G239">
        <v>1.9204487E-3</v>
      </c>
      <c r="H239" s="1">
        <v>1.0065235000000001E-5</v>
      </c>
      <c r="I239" s="1">
        <v>3.3735837000000003E-8</v>
      </c>
      <c r="J239" s="1">
        <v>1.0298577E-5</v>
      </c>
      <c r="K239" s="1">
        <v>3.9540937000000001E-7</v>
      </c>
      <c r="L239">
        <v>2.3549673E-2</v>
      </c>
      <c r="M239" s="1">
        <v>9.3139598999999996E-5</v>
      </c>
      <c r="N239">
        <v>-1.4819659999999999</v>
      </c>
      <c r="O239">
        <v>3.9269309999999998E-3</v>
      </c>
      <c r="P239" s="1">
        <v>1.9844839000000002E-8</v>
      </c>
      <c r="Q239" t="s">
        <v>187</v>
      </c>
      <c r="R239">
        <v>1.1850636999999999E-3</v>
      </c>
      <c r="S239" s="1">
        <v>1.8951098999999999E-5</v>
      </c>
    </row>
    <row r="240" spans="1:19" x14ac:dyDescent="0.2">
      <c r="A240" t="s">
        <v>496</v>
      </c>
      <c r="B240">
        <v>3.5217000000000001</v>
      </c>
      <c r="C240" t="s">
        <v>497</v>
      </c>
      <c r="D240" s="1">
        <v>728082870</v>
      </c>
      <c r="E240">
        <v>5876.9958999999999</v>
      </c>
      <c r="F240">
        <v>0.19236964000000001</v>
      </c>
      <c r="G240">
        <v>1.7999762999999999E-3</v>
      </c>
      <c r="H240" s="1">
        <v>1.004569E-5</v>
      </c>
      <c r="I240" s="1">
        <v>3.1791085999999998E-8</v>
      </c>
      <c r="J240" s="1">
        <v>1.0782002E-5</v>
      </c>
      <c r="K240" s="1">
        <v>3.6654809000000002E-7</v>
      </c>
      <c r="L240">
        <v>2.3312902999999999E-2</v>
      </c>
      <c r="M240" s="1">
        <v>8.8717946999999995E-5</v>
      </c>
      <c r="N240">
        <v>-1.5125218</v>
      </c>
      <c r="O240">
        <v>3.7762778E-3</v>
      </c>
      <c r="P240" s="1">
        <v>1.9518288999999999E-8</v>
      </c>
      <c r="Q240" t="s">
        <v>187</v>
      </c>
      <c r="R240">
        <v>1.1987223E-3</v>
      </c>
      <c r="S240" s="1">
        <v>1.7833876E-5</v>
      </c>
    </row>
    <row r="241" spans="1:19" x14ac:dyDescent="0.2">
      <c r="A241" t="s">
        <v>498</v>
      </c>
      <c r="B241">
        <v>3.5217000000000001</v>
      </c>
      <c r="C241" t="s">
        <v>499</v>
      </c>
      <c r="D241" s="1">
        <v>727898880</v>
      </c>
      <c r="E241">
        <v>5892.6799000000001</v>
      </c>
      <c r="F241">
        <v>0.19544411</v>
      </c>
      <c r="G241">
        <v>1.8343101000000001E-3</v>
      </c>
      <c r="H241" s="1">
        <v>1.0045693E-5</v>
      </c>
      <c r="I241" s="1">
        <v>3.1986092999999999E-8</v>
      </c>
      <c r="J241" s="1">
        <v>1.1055098E-5</v>
      </c>
      <c r="K241" s="1">
        <v>3.6512437E-7</v>
      </c>
      <c r="L241">
        <v>2.3476522999999999E-2</v>
      </c>
      <c r="M241" s="1">
        <v>9.0274029000000003E-5</v>
      </c>
      <c r="N241">
        <v>-1.4931562</v>
      </c>
      <c r="O241">
        <v>3.8165742000000002E-3</v>
      </c>
      <c r="P241" s="1">
        <v>1.9552601999999999E-8</v>
      </c>
      <c r="Q241" t="s">
        <v>187</v>
      </c>
      <c r="R241">
        <v>1.1934381E-3</v>
      </c>
      <c r="S241" s="1">
        <v>1.8174078999999999E-5</v>
      </c>
    </row>
    <row r="242" spans="1:19" x14ac:dyDescent="0.2">
      <c r="A242" t="s">
        <v>500</v>
      </c>
      <c r="B242">
        <v>3.5217000000000001</v>
      </c>
      <c r="C242" t="s">
        <v>501</v>
      </c>
      <c r="D242" s="1">
        <v>728119370</v>
      </c>
      <c r="E242">
        <v>5664.7512999999999</v>
      </c>
      <c r="F242">
        <v>0.18930477000000001</v>
      </c>
      <c r="G242">
        <v>1.8287487000000001E-3</v>
      </c>
      <c r="H242" s="1">
        <v>1.0070086E-5</v>
      </c>
      <c r="I242" s="1">
        <v>3.2911458000000003E-8</v>
      </c>
      <c r="J242" s="1">
        <v>1.0971182999999999E-5</v>
      </c>
      <c r="K242" s="1">
        <v>3.7630149000000001E-7</v>
      </c>
      <c r="L242">
        <v>2.3267517000000001E-2</v>
      </c>
      <c r="M242" s="1">
        <v>8.9345442000000002E-5</v>
      </c>
      <c r="N242">
        <v>-1.4911985999999999</v>
      </c>
      <c r="O242">
        <v>3.8120238000000002E-3</v>
      </c>
      <c r="P242" s="1">
        <v>1.9647338999999999E-8</v>
      </c>
      <c r="Q242" t="s">
        <v>187</v>
      </c>
      <c r="R242">
        <v>1.1744684E-3</v>
      </c>
      <c r="S242" s="1">
        <v>1.8027787000000002E-5</v>
      </c>
    </row>
    <row r="243" spans="1:19" x14ac:dyDescent="0.2">
      <c r="A243" t="s">
        <v>502</v>
      </c>
      <c r="B243">
        <v>3.5217000000000001</v>
      </c>
      <c r="C243" t="s">
        <v>503</v>
      </c>
      <c r="D243" s="1">
        <v>727627470</v>
      </c>
      <c r="E243">
        <v>5936.1917999999996</v>
      </c>
      <c r="F243">
        <v>0.18786153</v>
      </c>
      <c r="G243">
        <v>1.7717065E-3</v>
      </c>
      <c r="H243" s="1">
        <v>9.9933420999999995E-6</v>
      </c>
      <c r="I243" s="1">
        <v>3.1445527000000001E-8</v>
      </c>
      <c r="J243" s="1">
        <v>9.2410299000000006E-6</v>
      </c>
      <c r="K243" s="1">
        <v>3.8460539999999999E-7</v>
      </c>
      <c r="L243">
        <v>2.2431085999999999E-2</v>
      </c>
      <c r="M243">
        <v>1.2521936000000001E-4</v>
      </c>
      <c r="N243">
        <v>-1.4445692999999999</v>
      </c>
      <c r="O243">
        <v>3.7572575000000001E-3</v>
      </c>
      <c r="P243" s="1">
        <v>2.0394658999999999E-8</v>
      </c>
      <c r="Q243" s="1">
        <v>1.4179826999999999E-10</v>
      </c>
      <c r="R243">
        <v>1.1411002E-3</v>
      </c>
      <c r="S243" s="1">
        <v>1.7731831E-5</v>
      </c>
    </row>
    <row r="244" spans="1:19" x14ac:dyDescent="0.2">
      <c r="A244" t="s">
        <v>504</v>
      </c>
      <c r="B244">
        <v>3.5217000000000001</v>
      </c>
      <c r="C244" t="s">
        <v>505</v>
      </c>
      <c r="D244" s="1">
        <v>728035180</v>
      </c>
      <c r="E244">
        <v>5937.5924999999997</v>
      </c>
      <c r="F244">
        <v>0.18807351999999999</v>
      </c>
      <c r="G244">
        <v>1.8700062000000001E-3</v>
      </c>
      <c r="H244" s="1">
        <v>9.9979212000000003E-6</v>
      </c>
      <c r="I244" s="1">
        <v>3.3300551999999998E-8</v>
      </c>
      <c r="J244" s="1">
        <v>9.5944187999999996E-6</v>
      </c>
      <c r="K244" s="1">
        <v>4.0186538000000001E-7</v>
      </c>
      <c r="L244">
        <v>2.3496962999999999E-2</v>
      </c>
      <c r="M244" s="1">
        <v>9.3412479000000003E-5</v>
      </c>
      <c r="N244">
        <v>-1.5006873000000001</v>
      </c>
      <c r="O244">
        <v>3.9453698999999997E-3</v>
      </c>
      <c r="P244" s="1">
        <v>1.9351168E-8</v>
      </c>
      <c r="Q244" t="s">
        <v>187</v>
      </c>
      <c r="R244">
        <v>1.0013811E-3</v>
      </c>
      <c r="S244" s="1">
        <v>1.8712488000000001E-5</v>
      </c>
    </row>
    <row r="245" spans="1:19" x14ac:dyDescent="0.2">
      <c r="A245" t="s">
        <v>506</v>
      </c>
      <c r="B245">
        <v>3.5217000000000001</v>
      </c>
      <c r="C245" t="s">
        <v>507</v>
      </c>
      <c r="D245" s="1">
        <v>727893030</v>
      </c>
      <c r="E245">
        <v>6072.2190000000001</v>
      </c>
      <c r="F245">
        <v>0.18285911999999999</v>
      </c>
      <c r="G245">
        <v>1.8104991E-3</v>
      </c>
      <c r="H245" s="1">
        <v>9.9409096999999992E-6</v>
      </c>
      <c r="I245" s="1">
        <v>3.2495728000000001E-8</v>
      </c>
      <c r="J245" s="1">
        <v>7.9031194000000007E-6</v>
      </c>
      <c r="K245" s="1">
        <v>4.1763671E-7</v>
      </c>
      <c r="L245">
        <v>2.2426972E-2</v>
      </c>
      <c r="M245">
        <v>1.3082584E-4</v>
      </c>
      <c r="N245">
        <v>-1.4725276</v>
      </c>
      <c r="O245">
        <v>3.9237263000000003E-3</v>
      </c>
      <c r="P245" s="1">
        <v>2.0022505000000001E-8</v>
      </c>
      <c r="Q245" s="1">
        <v>1.4506142000000001E-10</v>
      </c>
      <c r="R245">
        <v>1.394586E-3</v>
      </c>
      <c r="S245" s="1">
        <v>1.8319559000000001E-5</v>
      </c>
    </row>
    <row r="246" spans="1:19" x14ac:dyDescent="0.2">
      <c r="A246" t="s">
        <v>508</v>
      </c>
      <c r="B246">
        <v>3.5217000000000001</v>
      </c>
      <c r="C246" t="s">
        <v>509</v>
      </c>
      <c r="D246" s="1">
        <v>728085120</v>
      </c>
      <c r="E246">
        <v>6348.1782999999996</v>
      </c>
      <c r="F246">
        <v>0.18508372000000001</v>
      </c>
      <c r="G246">
        <v>1.8357692E-3</v>
      </c>
      <c r="H246" s="1">
        <v>9.9101781000000002E-6</v>
      </c>
      <c r="I246" s="1">
        <v>3.2910416000000002E-8</v>
      </c>
      <c r="J246" s="1">
        <v>8.9641120000000006E-6</v>
      </c>
      <c r="K246" s="1">
        <v>4.0835623000000002E-7</v>
      </c>
      <c r="L246">
        <v>2.1788440999999999E-2</v>
      </c>
      <c r="M246">
        <v>1.2894986999999999E-4</v>
      </c>
      <c r="N246">
        <v>-1.4744402000000001</v>
      </c>
      <c r="O246">
        <v>3.9835336000000002E-3</v>
      </c>
      <c r="P246" s="1">
        <v>2.0860541E-8</v>
      </c>
      <c r="Q246" s="1">
        <v>1.542438E-10</v>
      </c>
      <c r="R246">
        <v>1.0716742E-3</v>
      </c>
      <c r="S246" s="1">
        <v>1.8697306000000001E-5</v>
      </c>
    </row>
    <row r="247" spans="1:19" x14ac:dyDescent="0.2">
      <c r="A247" t="s">
        <v>510</v>
      </c>
      <c r="B247">
        <v>3.5217000000000001</v>
      </c>
      <c r="C247" t="s">
        <v>511</v>
      </c>
      <c r="D247" s="1">
        <v>728320270</v>
      </c>
      <c r="E247">
        <v>6094.7438000000002</v>
      </c>
      <c r="F247">
        <v>0.1945258</v>
      </c>
      <c r="G247">
        <v>1.8636632000000001E-3</v>
      </c>
      <c r="H247" s="1">
        <v>1.0059942999999999E-5</v>
      </c>
      <c r="I247" s="1">
        <v>3.2744167999999999E-8</v>
      </c>
      <c r="J247" s="1">
        <v>1.1276019E-5</v>
      </c>
      <c r="K247" s="1">
        <v>3.7043395999999998E-7</v>
      </c>
      <c r="L247">
        <v>2.3231765000000001E-2</v>
      </c>
      <c r="M247" s="1">
        <v>9.1455006000000001E-5</v>
      </c>
      <c r="N247">
        <v>-1.5117223</v>
      </c>
      <c r="O247">
        <v>3.9070776000000003E-3</v>
      </c>
      <c r="P247" s="1">
        <v>1.9575602999999999E-8</v>
      </c>
      <c r="Q247" t="s">
        <v>187</v>
      </c>
      <c r="R247">
        <v>1.2495129E-3</v>
      </c>
      <c r="S247" s="1">
        <v>1.8410499E-5</v>
      </c>
    </row>
    <row r="248" spans="1:19" x14ac:dyDescent="0.2">
      <c r="A248" t="s">
        <v>512</v>
      </c>
      <c r="B248">
        <v>3.5217000000000001</v>
      </c>
      <c r="C248" t="s">
        <v>513</v>
      </c>
      <c r="D248" s="1">
        <v>727998460</v>
      </c>
      <c r="E248">
        <v>6100.4387999999999</v>
      </c>
      <c r="F248">
        <v>0.18739637000000001</v>
      </c>
      <c r="G248">
        <v>1.8427770000000001E-3</v>
      </c>
      <c r="H248" s="1">
        <v>1.0063141000000001E-5</v>
      </c>
      <c r="I248" s="1">
        <v>3.3182460999999997E-8</v>
      </c>
      <c r="J248" s="1">
        <v>1.0173849999999999E-5</v>
      </c>
      <c r="K248" s="1">
        <v>3.9098913999999999E-7</v>
      </c>
      <c r="L248">
        <v>2.2086445E-2</v>
      </c>
      <c r="M248">
        <v>1.2903536E-4</v>
      </c>
      <c r="N248">
        <v>-1.4515515999999999</v>
      </c>
      <c r="O248">
        <v>3.9326752000000001E-3</v>
      </c>
      <c r="P248" s="1">
        <v>2.0384254000000001E-8</v>
      </c>
      <c r="Q248" s="1">
        <v>1.4832013999999999E-10</v>
      </c>
      <c r="R248">
        <v>1.0049204E-3</v>
      </c>
      <c r="S248" s="1">
        <v>1.8177339E-5</v>
      </c>
    </row>
    <row r="249" spans="1:19" x14ac:dyDescent="0.2">
      <c r="A249" t="s">
        <v>514</v>
      </c>
      <c r="B249">
        <v>3.5217000000000001</v>
      </c>
      <c r="C249" t="s">
        <v>515</v>
      </c>
      <c r="D249" s="1">
        <v>728231230</v>
      </c>
      <c r="E249">
        <v>5977.3077999999996</v>
      </c>
      <c r="F249">
        <v>0.19307540000000001</v>
      </c>
      <c r="G249">
        <v>1.8665802999999999E-3</v>
      </c>
      <c r="H249" s="1">
        <v>1.0052347000000001E-5</v>
      </c>
      <c r="I249" s="1">
        <v>3.2886560000000001E-8</v>
      </c>
      <c r="J249" s="1">
        <v>1.0911395999999999E-5</v>
      </c>
      <c r="K249" s="1">
        <v>3.7746192000000002E-7</v>
      </c>
      <c r="L249">
        <v>2.1571924999999999E-2</v>
      </c>
      <c r="M249">
        <v>1.2771273E-4</v>
      </c>
      <c r="N249">
        <v>-1.4747931999999999</v>
      </c>
      <c r="O249">
        <v>3.9857097999999999E-3</v>
      </c>
      <c r="P249" s="1">
        <v>2.1035795999999998E-8</v>
      </c>
      <c r="Q249" s="1">
        <v>1.5577896999999999E-10</v>
      </c>
      <c r="R249">
        <v>1.2985742000000001E-3</v>
      </c>
      <c r="S249" s="1">
        <v>1.8454786999999999E-5</v>
      </c>
    </row>
    <row r="250" spans="1:19" x14ac:dyDescent="0.2">
      <c r="A250" t="s">
        <v>516</v>
      </c>
      <c r="B250">
        <v>3.5217000000000001</v>
      </c>
      <c r="C250" t="s">
        <v>517</v>
      </c>
      <c r="D250" s="1">
        <v>728194750</v>
      </c>
      <c r="E250">
        <v>5840.4912000000004</v>
      </c>
      <c r="F250">
        <v>0.19064959000000001</v>
      </c>
      <c r="G250">
        <v>1.8517459E-3</v>
      </c>
      <c r="H250" s="1">
        <v>1.0008206E-5</v>
      </c>
      <c r="I250" s="1">
        <v>3.2848457000000001E-8</v>
      </c>
      <c r="J250" s="1">
        <v>1.0485032E-5</v>
      </c>
      <c r="K250" s="1">
        <v>3.8391972E-7</v>
      </c>
      <c r="L250">
        <v>2.1574511000000001E-2</v>
      </c>
      <c r="M250">
        <v>1.2736293999999999E-4</v>
      </c>
      <c r="N250">
        <v>-1.4782495</v>
      </c>
      <c r="O250">
        <v>3.9740187999999996E-3</v>
      </c>
      <c r="P250" s="1">
        <v>2.1060266E-8</v>
      </c>
      <c r="Q250" s="1">
        <v>1.5553449999999999E-10</v>
      </c>
      <c r="R250">
        <v>1.2591582000000001E-3</v>
      </c>
      <c r="S250" s="1">
        <v>1.8476984999999998E-5</v>
      </c>
    </row>
    <row r="251" spans="1:19" x14ac:dyDescent="0.2">
      <c r="A251" t="s">
        <v>518</v>
      </c>
      <c r="B251">
        <v>3.5217000000000001</v>
      </c>
      <c r="C251" t="s">
        <v>519</v>
      </c>
      <c r="D251" s="1">
        <v>728265570</v>
      </c>
      <c r="E251">
        <v>6126.1670999999997</v>
      </c>
      <c r="F251">
        <v>0.18843298999999999</v>
      </c>
      <c r="G251">
        <v>1.8519528000000001E-3</v>
      </c>
      <c r="H251" s="1">
        <v>9.9799090000000004E-6</v>
      </c>
      <c r="I251" s="1">
        <v>3.3173004000000003E-8</v>
      </c>
      <c r="J251" s="1">
        <v>1.0366925000000001E-5</v>
      </c>
      <c r="K251" s="1">
        <v>3.9001293000000002E-7</v>
      </c>
      <c r="L251">
        <v>2.1674123999999999E-2</v>
      </c>
      <c r="M251">
        <v>1.2722817000000001E-4</v>
      </c>
      <c r="N251">
        <v>-1.4762776</v>
      </c>
      <c r="O251">
        <v>3.9523272000000003E-3</v>
      </c>
      <c r="P251" s="1">
        <v>2.1195542E-8</v>
      </c>
      <c r="Q251" s="1">
        <v>1.5579315000000001E-10</v>
      </c>
      <c r="R251">
        <v>1.3955886999999999E-3</v>
      </c>
      <c r="S251" s="1">
        <v>1.8588723999999999E-5</v>
      </c>
    </row>
    <row r="252" spans="1:19" x14ac:dyDescent="0.2">
      <c r="A252" t="s">
        <v>520</v>
      </c>
      <c r="B252">
        <v>3.5217000000000001</v>
      </c>
      <c r="C252" t="s">
        <v>521</v>
      </c>
      <c r="D252" s="1">
        <v>728315960</v>
      </c>
      <c r="E252">
        <v>6043.4395999999997</v>
      </c>
      <c r="F252">
        <v>0.19033705000000001</v>
      </c>
      <c r="G252">
        <v>1.9282514999999999E-3</v>
      </c>
      <c r="H252" s="1">
        <v>1.0082905999999999E-5</v>
      </c>
      <c r="I252" s="1">
        <v>3.4200792000000003E-8</v>
      </c>
      <c r="J252" s="1">
        <v>1.0168523000000001E-5</v>
      </c>
      <c r="K252" s="1">
        <v>4.0257307E-7</v>
      </c>
      <c r="L252">
        <v>2.1463084E-2</v>
      </c>
      <c r="M252">
        <v>1.3002692E-4</v>
      </c>
      <c r="N252">
        <v>-1.4752430999999999</v>
      </c>
      <c r="O252">
        <v>4.0794871999999998E-3</v>
      </c>
      <c r="P252" s="1">
        <v>2.1314416999999999E-8</v>
      </c>
      <c r="Q252" s="1">
        <v>1.6181351E-10</v>
      </c>
      <c r="R252">
        <v>1.4118186E-3</v>
      </c>
      <c r="S252" s="1">
        <v>1.8944790000000001E-5</v>
      </c>
    </row>
    <row r="253" spans="1:19" x14ac:dyDescent="0.2">
      <c r="A253" t="s">
        <v>522</v>
      </c>
      <c r="B253">
        <v>3.5217000000000001</v>
      </c>
      <c r="C253" t="s">
        <v>523</v>
      </c>
      <c r="D253" s="1">
        <v>727914890</v>
      </c>
      <c r="E253">
        <v>6094.1940999999997</v>
      </c>
      <c r="F253">
        <v>0.18930781999999999</v>
      </c>
      <c r="G253">
        <v>1.7632951E-3</v>
      </c>
      <c r="H253" s="1">
        <v>9.9856070000000006E-6</v>
      </c>
      <c r="I253" s="1">
        <v>3.1282868999999998E-8</v>
      </c>
      <c r="J253" s="1">
        <v>9.8713125000000007E-6</v>
      </c>
      <c r="K253" s="1">
        <v>3.7406285000000002E-7</v>
      </c>
      <c r="L253">
        <v>2.2744542E-2</v>
      </c>
      <c r="M253" s="1">
        <v>8.7340265999999995E-5</v>
      </c>
      <c r="N253">
        <v>-1.4463387000000001</v>
      </c>
      <c r="O253">
        <v>3.8145968999999998E-3</v>
      </c>
      <c r="P253" s="1">
        <v>1.9587805E-8</v>
      </c>
      <c r="Q253" t="s">
        <v>187</v>
      </c>
      <c r="R253">
        <v>1.1382950999999999E-3</v>
      </c>
      <c r="S253" s="1">
        <v>1.7690442000000001E-5</v>
      </c>
    </row>
    <row r="254" spans="1:19" x14ac:dyDescent="0.2">
      <c r="A254" t="s">
        <v>524</v>
      </c>
      <c r="B254">
        <v>3.5217000000000001</v>
      </c>
      <c r="C254" t="s">
        <v>525</v>
      </c>
      <c r="D254" s="1">
        <v>728069200</v>
      </c>
      <c r="E254">
        <v>6320.7375000000002</v>
      </c>
      <c r="F254">
        <v>0.18852730000000001</v>
      </c>
      <c r="G254">
        <v>1.8269184E-3</v>
      </c>
      <c r="H254" s="1">
        <v>1.0009200000000001E-5</v>
      </c>
      <c r="I254" s="1">
        <v>3.2623555999999999E-8</v>
      </c>
      <c r="J254" s="1">
        <v>1.0035888E-5</v>
      </c>
      <c r="K254" s="1">
        <v>3.8726587999999998E-7</v>
      </c>
      <c r="L254">
        <v>2.2670296999999999E-2</v>
      </c>
      <c r="M254" s="1">
        <v>8.9316744000000005E-5</v>
      </c>
      <c r="N254">
        <v>-1.4556956999999999</v>
      </c>
      <c r="O254">
        <v>3.9137555000000003E-3</v>
      </c>
      <c r="P254" s="1">
        <v>1.9831453E-8</v>
      </c>
      <c r="Q254" t="s">
        <v>187</v>
      </c>
      <c r="R254">
        <v>1.0737157000000001E-3</v>
      </c>
      <c r="S254" s="1">
        <v>1.8239162999999999E-5</v>
      </c>
    </row>
    <row r="255" spans="1:19" x14ac:dyDescent="0.2">
      <c r="A255" t="s">
        <v>526</v>
      </c>
      <c r="B255">
        <v>3.5217000000000001</v>
      </c>
      <c r="C255" t="s">
        <v>527</v>
      </c>
      <c r="D255" s="1">
        <v>727978830</v>
      </c>
      <c r="E255">
        <v>5865.5302000000001</v>
      </c>
      <c r="F255">
        <v>0.18724120999999999</v>
      </c>
      <c r="G255">
        <v>1.8461387E-3</v>
      </c>
      <c r="H255" s="1">
        <v>1.0002642E-5</v>
      </c>
      <c r="I255" s="1">
        <v>3.3240482999999997E-8</v>
      </c>
      <c r="J255" s="1">
        <v>1.0218392E-5</v>
      </c>
      <c r="K255" s="1">
        <v>3.9241142000000002E-7</v>
      </c>
      <c r="L255">
        <v>2.1971048E-2</v>
      </c>
      <c r="M255">
        <v>1.289493E-4</v>
      </c>
      <c r="N255">
        <v>-1.4219645999999999</v>
      </c>
      <c r="O255">
        <v>3.9539635999999998E-3</v>
      </c>
      <c r="P255" s="1">
        <v>2.0654818E-8</v>
      </c>
      <c r="Q255" s="1">
        <v>1.5129897E-10</v>
      </c>
      <c r="R255">
        <v>9.9844724000000009E-4</v>
      </c>
      <c r="S255" s="1">
        <v>1.8441176E-5</v>
      </c>
    </row>
    <row r="256" spans="1:19" x14ac:dyDescent="0.2">
      <c r="A256" t="s">
        <v>528</v>
      </c>
      <c r="B256">
        <v>3.5217000000000001</v>
      </c>
      <c r="C256" t="s">
        <v>529</v>
      </c>
      <c r="D256" s="1">
        <v>728165890</v>
      </c>
      <c r="E256">
        <v>6384.3706000000002</v>
      </c>
      <c r="F256">
        <v>0.18985561000000001</v>
      </c>
      <c r="G256">
        <v>1.8374162E-3</v>
      </c>
      <c r="H256" s="1">
        <v>1.0025379E-5</v>
      </c>
      <c r="I256" s="1">
        <v>3.296403E-8</v>
      </c>
      <c r="J256" s="1">
        <v>1.1045223E-5</v>
      </c>
      <c r="K256" s="1">
        <v>3.7687235000000001E-7</v>
      </c>
      <c r="L256">
        <v>2.2460996E-2</v>
      </c>
      <c r="M256" s="1">
        <v>9.0058182000000002E-5</v>
      </c>
      <c r="N256">
        <v>-1.4838005000000001</v>
      </c>
      <c r="O256">
        <v>3.9811491999999999E-3</v>
      </c>
      <c r="P256" s="1">
        <v>1.9718145000000001E-8</v>
      </c>
      <c r="Q256" t="s">
        <v>187</v>
      </c>
      <c r="R256">
        <v>8.7879242000000004E-4</v>
      </c>
      <c r="S256" s="1">
        <v>1.8282125000000001E-5</v>
      </c>
    </row>
    <row r="257" spans="1:19" x14ac:dyDescent="0.2">
      <c r="A257" t="s">
        <v>530</v>
      </c>
      <c r="B257">
        <v>3.5217000000000001</v>
      </c>
      <c r="C257" t="s">
        <v>531</v>
      </c>
      <c r="D257" s="1">
        <v>727995430</v>
      </c>
      <c r="E257">
        <v>5858.518</v>
      </c>
      <c r="F257">
        <v>0.19455259999999999</v>
      </c>
      <c r="G257">
        <v>1.9269493E-3</v>
      </c>
      <c r="H257" s="1">
        <v>1.0064645E-5</v>
      </c>
      <c r="I257" s="1">
        <v>3.373289E-8</v>
      </c>
      <c r="J257" s="1">
        <v>1.0954438E-5</v>
      </c>
      <c r="K257" s="1">
        <v>3.8604958999999999E-7</v>
      </c>
      <c r="L257">
        <v>2.2989525E-2</v>
      </c>
      <c r="M257" s="1">
        <v>9.3470840000000002E-5</v>
      </c>
      <c r="N257">
        <v>-1.4747238</v>
      </c>
      <c r="O257">
        <v>4.0373681E-3</v>
      </c>
      <c r="P257" s="1">
        <v>1.9841206000000002E-8</v>
      </c>
      <c r="Q257" t="s">
        <v>187</v>
      </c>
      <c r="R257">
        <v>1.1834065000000001E-3</v>
      </c>
      <c r="S257" s="1">
        <v>1.9017565999999999E-5</v>
      </c>
    </row>
    <row r="258" spans="1:19" x14ac:dyDescent="0.2">
      <c r="A258" t="s">
        <v>532</v>
      </c>
      <c r="B258">
        <v>3.5217000000000001</v>
      </c>
      <c r="C258" t="s">
        <v>533</v>
      </c>
      <c r="D258" s="1">
        <v>728176740</v>
      </c>
      <c r="E258">
        <v>5881.6097</v>
      </c>
      <c r="F258">
        <v>0.1817319</v>
      </c>
      <c r="G258">
        <v>1.7022968999999999E-3</v>
      </c>
      <c r="H258" s="1">
        <v>9.9665084000000002E-6</v>
      </c>
      <c r="I258" s="1">
        <v>3.1497932999999997E-8</v>
      </c>
      <c r="J258" s="1">
        <v>1.0021102E-5</v>
      </c>
      <c r="K258" s="1">
        <v>3.7503501000000001E-7</v>
      </c>
      <c r="L258">
        <v>2.2492728E-2</v>
      </c>
      <c r="M258" s="1">
        <v>8.4957238000000004E-5</v>
      </c>
      <c r="N258">
        <v>-1.4699154000000001</v>
      </c>
      <c r="O258">
        <v>3.7509797E-3</v>
      </c>
      <c r="P258" s="1">
        <v>1.9471003E-8</v>
      </c>
      <c r="Q258" t="s">
        <v>187</v>
      </c>
      <c r="R258">
        <v>1.2893032E-3</v>
      </c>
      <c r="S258" s="1">
        <v>1.7146654000000001E-5</v>
      </c>
    </row>
    <row r="259" spans="1:19" x14ac:dyDescent="0.2">
      <c r="A259" t="s">
        <v>534</v>
      </c>
      <c r="B259">
        <v>3.5217000000000001</v>
      </c>
      <c r="C259" t="s">
        <v>535</v>
      </c>
      <c r="D259" s="1">
        <v>728301070</v>
      </c>
      <c r="E259">
        <v>5929.4035999999996</v>
      </c>
      <c r="F259">
        <v>0.18892416000000001</v>
      </c>
      <c r="G259">
        <v>1.8381338999999999E-3</v>
      </c>
      <c r="H259" s="1">
        <v>1.0012042E-5</v>
      </c>
      <c r="I259" s="1">
        <v>3.2971382000000001E-8</v>
      </c>
      <c r="J259" s="1">
        <v>1.0661321E-5</v>
      </c>
      <c r="K259" s="1">
        <v>3.8283406999999999E-7</v>
      </c>
      <c r="L259">
        <v>2.1931431000000001E-2</v>
      </c>
      <c r="M259">
        <v>1.3005113999999999E-4</v>
      </c>
      <c r="N259">
        <v>-1.4842934000000001</v>
      </c>
      <c r="O259">
        <v>3.9896271000000004E-3</v>
      </c>
      <c r="P259" s="1">
        <v>2.0306576999999999E-8</v>
      </c>
      <c r="Q259" s="1">
        <v>1.4986331E-10</v>
      </c>
      <c r="R259">
        <v>8.1703361000000005E-4</v>
      </c>
      <c r="S259" s="1">
        <v>1.8325125E-5</v>
      </c>
    </row>
    <row r="260" spans="1:19" x14ac:dyDescent="0.2">
      <c r="A260" t="s">
        <v>536</v>
      </c>
      <c r="B260">
        <v>3.5217000000000001</v>
      </c>
      <c r="C260" t="s">
        <v>537</v>
      </c>
      <c r="D260" s="1">
        <v>728004800</v>
      </c>
      <c r="E260">
        <v>6363.8849</v>
      </c>
      <c r="F260">
        <v>0.19377881999999999</v>
      </c>
      <c r="G260">
        <v>1.9057848E-3</v>
      </c>
      <c r="H260" s="1">
        <v>1.0038517E-5</v>
      </c>
      <c r="I260" s="1">
        <v>3.3361111000000002E-8</v>
      </c>
      <c r="J260" s="1">
        <v>1.0651703999999999E-5</v>
      </c>
      <c r="K260" s="1">
        <v>3.8663668999999998E-7</v>
      </c>
      <c r="L260">
        <v>2.2578797000000001E-2</v>
      </c>
      <c r="M260" s="1">
        <v>9.2696728E-5</v>
      </c>
      <c r="N260">
        <v>-1.4529171000000001</v>
      </c>
      <c r="O260">
        <v>4.0783744999999998E-3</v>
      </c>
      <c r="P260" s="1">
        <v>1.9858223E-8</v>
      </c>
      <c r="Q260" t="s">
        <v>187</v>
      </c>
      <c r="R260">
        <v>1.0496502999999999E-3</v>
      </c>
      <c r="S260" s="1">
        <v>1.8910901000000002E-5</v>
      </c>
    </row>
    <row r="261" spans="1:19" x14ac:dyDescent="0.2">
      <c r="A261" t="s">
        <v>538</v>
      </c>
      <c r="B261">
        <v>3.5217000000000001</v>
      </c>
      <c r="C261" t="s">
        <v>539</v>
      </c>
      <c r="D261" s="1">
        <v>727898190</v>
      </c>
      <c r="E261">
        <v>6295.1552000000001</v>
      </c>
      <c r="F261">
        <v>0.19087554000000001</v>
      </c>
      <c r="G261">
        <v>1.8341936E-3</v>
      </c>
      <c r="H261" s="1">
        <v>1.0021897E-5</v>
      </c>
      <c r="I261" s="1">
        <v>3.2068294000000001E-8</v>
      </c>
      <c r="J261" s="1">
        <v>9.2624332999999997E-6</v>
      </c>
      <c r="K261" s="1">
        <v>3.9130335999999998E-7</v>
      </c>
      <c r="L261">
        <v>2.2598166999999999E-2</v>
      </c>
      <c r="M261">
        <v>1.3039839999999999E-4</v>
      </c>
      <c r="N261">
        <v>-1.4390000000000001</v>
      </c>
      <c r="O261">
        <v>3.8843885000000001E-3</v>
      </c>
      <c r="P261" s="1">
        <v>2.0139010999999999E-8</v>
      </c>
      <c r="Q261" s="1">
        <v>1.4448810999999999E-10</v>
      </c>
      <c r="R261">
        <v>1.5425594999999999E-3</v>
      </c>
      <c r="S261" s="1">
        <v>1.8247686999999999E-5</v>
      </c>
    </row>
    <row r="262" spans="1:19" x14ac:dyDescent="0.2">
      <c r="A262" t="s">
        <v>540</v>
      </c>
      <c r="B262">
        <v>3.5217000000000001</v>
      </c>
      <c r="C262" t="s">
        <v>541</v>
      </c>
      <c r="D262" s="1">
        <v>728659370</v>
      </c>
      <c r="E262">
        <v>5781.4759000000004</v>
      </c>
      <c r="F262">
        <v>0.1881032</v>
      </c>
      <c r="G262">
        <v>1.8104275E-3</v>
      </c>
      <c r="H262" s="1">
        <v>9.9807544999999999E-6</v>
      </c>
      <c r="I262" s="1">
        <v>3.2411169000000002E-8</v>
      </c>
      <c r="J262" s="1">
        <v>1.0163010999999999E-5</v>
      </c>
      <c r="K262" s="1">
        <v>3.8387927000000002E-7</v>
      </c>
      <c r="L262">
        <v>2.2995917000000001E-2</v>
      </c>
      <c r="M262">
        <v>1.3061031999999999E-4</v>
      </c>
      <c r="N262">
        <v>-1.5369183</v>
      </c>
      <c r="O262">
        <v>3.8172433000000002E-3</v>
      </c>
      <c r="P262" s="1">
        <v>1.9936686000000001E-8</v>
      </c>
      <c r="Q262" s="1">
        <v>1.4050561E-10</v>
      </c>
      <c r="R262">
        <v>1.138741E-3</v>
      </c>
      <c r="S262" s="1">
        <v>1.8166877000000001E-5</v>
      </c>
    </row>
    <row r="263" spans="1:19" x14ac:dyDescent="0.2">
      <c r="A263" t="s">
        <v>542</v>
      </c>
      <c r="B263">
        <v>3.5217000000000001</v>
      </c>
      <c r="C263" t="s">
        <v>543</v>
      </c>
      <c r="D263" s="1">
        <v>728170580</v>
      </c>
      <c r="E263">
        <v>5935.1553999999996</v>
      </c>
      <c r="F263">
        <v>0.19399262</v>
      </c>
      <c r="G263">
        <v>1.7952665E-3</v>
      </c>
      <c r="H263" s="1">
        <v>1.0072284E-5</v>
      </c>
      <c r="I263" s="1">
        <v>3.1510140999999998E-8</v>
      </c>
      <c r="J263" s="1">
        <v>1.0957114E-5</v>
      </c>
      <c r="K263" s="1">
        <v>3.6065967000000002E-7</v>
      </c>
      <c r="L263">
        <v>2.2340298000000001E-2</v>
      </c>
      <c r="M263">
        <v>1.2634827000000001E-4</v>
      </c>
      <c r="N263">
        <v>-1.4615403</v>
      </c>
      <c r="O263">
        <v>3.8063101999999999E-3</v>
      </c>
      <c r="P263" s="1">
        <v>2.0223528999999998E-8</v>
      </c>
      <c r="Q263" s="1">
        <v>1.4228198E-10</v>
      </c>
      <c r="R263">
        <v>1.2124125999999999E-3</v>
      </c>
      <c r="S263" s="1">
        <v>1.7674948E-5</v>
      </c>
    </row>
    <row r="264" spans="1:19" x14ac:dyDescent="0.2">
      <c r="A264" t="s">
        <v>544</v>
      </c>
      <c r="B264">
        <v>3.5217000000000001</v>
      </c>
      <c r="C264" t="s">
        <v>545</v>
      </c>
      <c r="D264" s="1">
        <v>728459050</v>
      </c>
      <c r="E264">
        <v>6332.2148999999999</v>
      </c>
      <c r="F264">
        <v>0.18899427999999999</v>
      </c>
      <c r="G264">
        <v>1.8925096999999999E-3</v>
      </c>
      <c r="H264" s="1">
        <v>9.9661282000000008E-6</v>
      </c>
      <c r="I264" s="1">
        <v>3.3994031E-8</v>
      </c>
      <c r="J264" s="1">
        <v>1.0875741E-5</v>
      </c>
      <c r="K264" s="1">
        <v>3.9244492999999998E-7</v>
      </c>
      <c r="L264">
        <v>2.3266058999999999E-2</v>
      </c>
      <c r="M264" s="1">
        <v>9.4447965000000005E-5</v>
      </c>
      <c r="N264">
        <v>-1.5058754000000001</v>
      </c>
      <c r="O264">
        <v>4.029627E-3</v>
      </c>
      <c r="P264" s="1">
        <v>1.9478238000000001E-8</v>
      </c>
      <c r="Q264" t="s">
        <v>187</v>
      </c>
      <c r="R264">
        <v>1.0468621E-3</v>
      </c>
      <c r="S264" s="1">
        <v>1.9064156999999999E-5</v>
      </c>
    </row>
    <row r="265" spans="1:19" x14ac:dyDescent="0.2">
      <c r="A265" t="s">
        <v>546</v>
      </c>
      <c r="B265">
        <v>3.5217000000000001</v>
      </c>
      <c r="C265" t="s">
        <v>547</v>
      </c>
      <c r="D265" s="1">
        <v>728192720</v>
      </c>
      <c r="E265">
        <v>6177.1406999999999</v>
      </c>
      <c r="F265">
        <v>0.19053118999999999</v>
      </c>
      <c r="G265">
        <v>1.9130002000000001E-3</v>
      </c>
      <c r="H265" s="1">
        <v>1.0028417E-5</v>
      </c>
      <c r="I265" s="1">
        <v>3.4003632999999997E-8</v>
      </c>
      <c r="J265" s="1">
        <v>1.0569855E-5</v>
      </c>
      <c r="K265" s="1">
        <v>3.9574683000000002E-7</v>
      </c>
      <c r="L265">
        <v>2.1979753000000001E-2</v>
      </c>
      <c r="M265">
        <v>1.3347542000000001E-4</v>
      </c>
      <c r="N265">
        <v>-1.4740921</v>
      </c>
      <c r="O265">
        <v>4.0870268E-3</v>
      </c>
      <c r="P265" s="1">
        <v>2.0605894999999999E-8</v>
      </c>
      <c r="Q265" s="1">
        <v>1.5606765000000001E-10</v>
      </c>
      <c r="R265">
        <v>1.1317489E-3</v>
      </c>
      <c r="S265" s="1">
        <v>1.9007129999999998E-5</v>
      </c>
    </row>
    <row r="266" spans="1:19" x14ac:dyDescent="0.2">
      <c r="A266" t="s">
        <v>548</v>
      </c>
      <c r="B266">
        <v>3.5217000000000001</v>
      </c>
      <c r="C266" t="s">
        <v>549</v>
      </c>
      <c r="D266" s="1">
        <v>728065820</v>
      </c>
      <c r="E266">
        <v>6004.5418</v>
      </c>
      <c r="F266">
        <v>0.18646887000000001</v>
      </c>
      <c r="G266">
        <v>1.8147365999999999E-3</v>
      </c>
      <c r="H266" s="1">
        <v>9.9397113000000006E-6</v>
      </c>
      <c r="I266" s="1">
        <v>3.2553354999999998E-8</v>
      </c>
      <c r="J266" s="1">
        <v>9.6434584999999999E-6</v>
      </c>
      <c r="K266" s="1">
        <v>3.9373470000000002E-7</v>
      </c>
      <c r="L266">
        <v>2.2282893000000002E-2</v>
      </c>
      <c r="M266">
        <v>1.3140790999999999E-4</v>
      </c>
      <c r="N266">
        <v>-1.4406729</v>
      </c>
      <c r="O266">
        <v>3.9698557999999998E-3</v>
      </c>
      <c r="P266" s="1">
        <v>1.9960800999999999E-8</v>
      </c>
      <c r="Q266" s="1">
        <v>1.461769E-10</v>
      </c>
      <c r="R266">
        <v>1.2840766000000001E-3</v>
      </c>
      <c r="S266" s="1">
        <v>1.8366576999999998E-5</v>
      </c>
    </row>
    <row r="267" spans="1:19" x14ac:dyDescent="0.2">
      <c r="A267" t="s">
        <v>550</v>
      </c>
      <c r="B267">
        <v>3.5217000000000001</v>
      </c>
      <c r="C267" t="s">
        <v>551</v>
      </c>
      <c r="D267" s="1">
        <v>728172000</v>
      </c>
      <c r="E267">
        <v>6056.1383999999998</v>
      </c>
      <c r="F267">
        <v>0.17789516</v>
      </c>
      <c r="G267">
        <v>1.8151466999999999E-3</v>
      </c>
      <c r="H267" s="1">
        <v>9.8396522000000002E-6</v>
      </c>
      <c r="I267" s="1">
        <v>3.3189706E-8</v>
      </c>
      <c r="J267" s="1">
        <v>7.2304137000000004E-6</v>
      </c>
      <c r="K267" s="1">
        <v>4.385611E-7</v>
      </c>
      <c r="L267">
        <v>2.2692453000000001E-2</v>
      </c>
      <c r="M267" s="1">
        <v>9.1270765000000005E-5</v>
      </c>
      <c r="N267">
        <v>-1.4568194000000001</v>
      </c>
      <c r="O267">
        <v>3.9955876999999999E-3</v>
      </c>
      <c r="P267" s="1">
        <v>1.9716017000000001E-8</v>
      </c>
      <c r="Q267" t="s">
        <v>187</v>
      </c>
      <c r="R267">
        <v>9.9193630000000001E-4</v>
      </c>
      <c r="S267" s="1">
        <v>1.8779269E-5</v>
      </c>
    </row>
    <row r="268" spans="1:19" x14ac:dyDescent="0.2">
      <c r="A268" t="s">
        <v>552</v>
      </c>
      <c r="B268">
        <v>3.5217000000000001</v>
      </c>
      <c r="C268" t="s">
        <v>553</v>
      </c>
      <c r="D268" s="1">
        <v>728374120</v>
      </c>
      <c r="E268">
        <v>5891.3446000000004</v>
      </c>
      <c r="F268">
        <v>0.18641358</v>
      </c>
      <c r="G268">
        <v>1.7803699000000001E-3</v>
      </c>
      <c r="H268" s="1">
        <v>9.9650221000000004E-6</v>
      </c>
      <c r="I268" s="1">
        <v>3.2058296000000003E-8</v>
      </c>
      <c r="J268" s="1">
        <v>9.9031784999999998E-6</v>
      </c>
      <c r="K268" s="1">
        <v>3.8359149000000001E-7</v>
      </c>
      <c r="L268">
        <v>2.1820691999999999E-2</v>
      </c>
      <c r="M268">
        <v>1.2524277E-4</v>
      </c>
      <c r="N268">
        <v>-1.4684950999999999</v>
      </c>
      <c r="O268">
        <v>3.8639837999999999E-3</v>
      </c>
      <c r="P268" s="1">
        <v>2.0616336999999999E-8</v>
      </c>
      <c r="Q268" s="1">
        <v>1.476101E-10</v>
      </c>
      <c r="R268">
        <v>1.2456927999999999E-3</v>
      </c>
      <c r="S268" s="1">
        <v>1.7924819E-5</v>
      </c>
    </row>
    <row r="269" spans="1:19" x14ac:dyDescent="0.2">
      <c r="A269" t="s">
        <v>554</v>
      </c>
      <c r="B269">
        <v>3.5217000000000001</v>
      </c>
      <c r="C269" t="s">
        <v>555</v>
      </c>
      <c r="D269" s="1">
        <v>728273740</v>
      </c>
      <c r="E269">
        <v>6380.1301000000003</v>
      </c>
      <c r="F269">
        <v>0.18597538</v>
      </c>
      <c r="G269">
        <v>1.8729062E-3</v>
      </c>
      <c r="H269" s="1">
        <v>9.9507076999999998E-6</v>
      </c>
      <c r="I269" s="1">
        <v>3.3665497999999997E-8</v>
      </c>
      <c r="J269" s="1">
        <v>9.5603352999999995E-6</v>
      </c>
      <c r="K269" s="1">
        <v>4.0809981999999999E-7</v>
      </c>
      <c r="L269">
        <v>2.1923295999999998E-2</v>
      </c>
      <c r="M269">
        <v>1.3124809999999999E-4</v>
      </c>
      <c r="N269">
        <v>-1.4813921000000001</v>
      </c>
      <c r="O269">
        <v>4.0293285000000002E-3</v>
      </c>
      <c r="P269" s="1">
        <v>2.0774642000000001E-8</v>
      </c>
      <c r="Q269" s="1">
        <v>1.5529398000000001E-10</v>
      </c>
      <c r="R269">
        <v>1.0510052000000001E-3</v>
      </c>
      <c r="S269" s="1">
        <v>1.8913589000000001E-5</v>
      </c>
    </row>
    <row r="270" spans="1:19" x14ac:dyDescent="0.2">
      <c r="A270" t="s">
        <v>556</v>
      </c>
      <c r="B270">
        <v>3.5217000000000001</v>
      </c>
      <c r="C270" t="s">
        <v>557</v>
      </c>
      <c r="D270" s="1">
        <v>728209710</v>
      </c>
      <c r="E270">
        <v>5923.8077000000003</v>
      </c>
      <c r="F270">
        <v>0.18630936000000001</v>
      </c>
      <c r="G270">
        <v>1.8507208E-3</v>
      </c>
      <c r="H270" s="1">
        <v>9.9287404999999994E-6</v>
      </c>
      <c r="I270" s="1">
        <v>3.3426207000000001E-8</v>
      </c>
      <c r="J270" s="1">
        <v>1.0200514E-5</v>
      </c>
      <c r="K270" s="1">
        <v>3.9654348E-7</v>
      </c>
      <c r="L270">
        <v>2.1846856000000001E-2</v>
      </c>
      <c r="M270">
        <v>1.2928810000000001E-4</v>
      </c>
      <c r="N270">
        <v>-1.4505482999999999</v>
      </c>
      <c r="O270">
        <v>3.9858823000000002E-3</v>
      </c>
      <c r="P270" s="1">
        <v>2.0928041E-8</v>
      </c>
      <c r="Q270" s="1">
        <v>1.5483856E-10</v>
      </c>
      <c r="R270">
        <v>1.2534463E-3</v>
      </c>
      <c r="S270" s="1">
        <v>1.8775958999999999E-5</v>
      </c>
    </row>
    <row r="271" spans="1:19" x14ac:dyDescent="0.2">
      <c r="A271" t="s">
        <v>558</v>
      </c>
      <c r="B271">
        <v>3.5217000000000001</v>
      </c>
      <c r="C271" t="s">
        <v>559</v>
      </c>
      <c r="D271" s="1">
        <v>728357170</v>
      </c>
      <c r="E271">
        <v>6749.6715000000004</v>
      </c>
      <c r="F271">
        <v>0.18497859999999999</v>
      </c>
      <c r="G271">
        <v>1.8574412999999999E-3</v>
      </c>
      <c r="H271" s="1">
        <v>9.9573513999999996E-6</v>
      </c>
      <c r="I271" s="1">
        <v>3.3560194999999997E-8</v>
      </c>
      <c r="J271" s="1">
        <v>9.4906168000000002E-6</v>
      </c>
      <c r="K271" s="1">
        <v>4.0744256000000002E-7</v>
      </c>
      <c r="L271">
        <v>2.3004428E-2</v>
      </c>
      <c r="M271" s="1">
        <v>9.4122412999999994E-5</v>
      </c>
      <c r="N271">
        <v>-1.492605</v>
      </c>
      <c r="O271">
        <v>4.0615469E-3</v>
      </c>
      <c r="P271" s="1">
        <v>1.9138628000000001E-8</v>
      </c>
      <c r="Q271" t="s">
        <v>187</v>
      </c>
      <c r="R271">
        <v>1.0616836999999999E-3</v>
      </c>
      <c r="S271" s="1">
        <v>1.8744738000000001E-5</v>
      </c>
    </row>
    <row r="272" spans="1:19" x14ac:dyDescent="0.2">
      <c r="A272" t="s">
        <v>560</v>
      </c>
      <c r="B272">
        <v>3.5217000000000001</v>
      </c>
      <c r="C272" t="s">
        <v>561</v>
      </c>
      <c r="D272" s="1">
        <v>728444660</v>
      </c>
      <c r="E272">
        <v>5961.4206999999997</v>
      </c>
      <c r="F272">
        <v>0.18921803000000001</v>
      </c>
      <c r="G272">
        <v>1.8248803E-3</v>
      </c>
      <c r="H272" s="1">
        <v>9.9913100999999993E-6</v>
      </c>
      <c r="I272" s="1">
        <v>3.2705770000000001E-8</v>
      </c>
      <c r="J272" s="1">
        <v>1.0765456E-5</v>
      </c>
      <c r="K272" s="1">
        <v>3.7876058000000002E-7</v>
      </c>
      <c r="L272">
        <v>2.1786808000000001E-2</v>
      </c>
      <c r="M272">
        <v>1.272031E-4</v>
      </c>
      <c r="N272">
        <v>-1.4816958</v>
      </c>
      <c r="O272">
        <v>3.9300541999999997E-3</v>
      </c>
      <c r="P272" s="1">
        <v>2.0765048E-8</v>
      </c>
      <c r="Q272" s="1">
        <v>1.5137749000000001E-10</v>
      </c>
      <c r="R272">
        <v>1.0597108E-3</v>
      </c>
      <c r="S272" s="1">
        <v>1.8272632999999999E-5</v>
      </c>
    </row>
    <row r="273" spans="1:19" x14ac:dyDescent="0.2">
      <c r="A273" t="s">
        <v>562</v>
      </c>
      <c r="B273">
        <v>3.5217000000000001</v>
      </c>
      <c r="C273" t="s">
        <v>563</v>
      </c>
      <c r="D273" s="1">
        <v>728389070</v>
      </c>
      <c r="E273">
        <v>6573.8543</v>
      </c>
      <c r="F273">
        <v>0.18512577999999999</v>
      </c>
      <c r="G273">
        <v>1.7764906999999999E-3</v>
      </c>
      <c r="H273" s="1">
        <v>1.0050578999999999E-5</v>
      </c>
      <c r="I273" s="1">
        <v>3.2446576000000003E-8</v>
      </c>
      <c r="J273" s="1">
        <v>1.0343425999999999E-5</v>
      </c>
      <c r="K273" s="1">
        <v>3.8003270999999998E-7</v>
      </c>
      <c r="L273">
        <v>2.2915128999999999E-2</v>
      </c>
      <c r="M273" s="1">
        <v>9.0227231999999997E-5</v>
      </c>
      <c r="N273">
        <v>-1.4841518</v>
      </c>
      <c r="O273">
        <v>3.9087184000000004E-3</v>
      </c>
      <c r="P273" s="1">
        <v>1.8780836999999999E-8</v>
      </c>
      <c r="Q273" t="s">
        <v>187</v>
      </c>
      <c r="R273">
        <v>1.0147902999999999E-3</v>
      </c>
      <c r="S273" s="1">
        <v>1.7582174000000001E-5</v>
      </c>
    </row>
    <row r="274" spans="1:19" x14ac:dyDescent="0.2">
      <c r="A274" t="s">
        <v>564</v>
      </c>
      <c r="B274">
        <v>3.5217000000000001</v>
      </c>
      <c r="C274" t="s">
        <v>565</v>
      </c>
      <c r="D274" s="1">
        <v>728042840</v>
      </c>
      <c r="E274">
        <v>6067.7465000000002</v>
      </c>
      <c r="F274">
        <v>0.18244555000000001</v>
      </c>
      <c r="G274">
        <v>1.7884473E-3</v>
      </c>
      <c r="H274" s="1">
        <v>9.8818910999999997E-6</v>
      </c>
      <c r="I274" s="1">
        <v>3.2403693999999999E-8</v>
      </c>
      <c r="J274" s="1">
        <v>8.6404623000000006E-6</v>
      </c>
      <c r="K274" s="1">
        <v>4.0704643999999999E-7</v>
      </c>
      <c r="L274">
        <v>2.2851560999999999E-2</v>
      </c>
      <c r="M274" s="1">
        <v>9.0846258999999999E-5</v>
      </c>
      <c r="N274">
        <v>-1.4265985999999999</v>
      </c>
      <c r="O274">
        <v>3.9506187000000002E-3</v>
      </c>
      <c r="P274" s="1">
        <v>1.9318954000000001E-8</v>
      </c>
      <c r="Q274" t="s">
        <v>187</v>
      </c>
      <c r="R274">
        <v>1.3161742000000001E-3</v>
      </c>
      <c r="S274" s="1">
        <v>1.8337598999999999E-5</v>
      </c>
    </row>
    <row r="275" spans="1:19" x14ac:dyDescent="0.2">
      <c r="A275" t="s">
        <v>566</v>
      </c>
      <c r="B275">
        <v>3.5217000000000001</v>
      </c>
      <c r="C275" t="s">
        <v>567</v>
      </c>
      <c r="D275" s="1">
        <v>728295910</v>
      </c>
      <c r="E275">
        <v>6199.2330000000002</v>
      </c>
      <c r="F275">
        <v>0.18444500999999999</v>
      </c>
      <c r="G275">
        <v>1.7817321999999999E-3</v>
      </c>
      <c r="H275" s="1">
        <v>9.9232213000000007E-6</v>
      </c>
      <c r="I275" s="1">
        <v>3.2112879999999999E-8</v>
      </c>
      <c r="J275" s="1">
        <v>9.0723200999999992E-6</v>
      </c>
      <c r="K275" s="1">
        <v>3.9642774000000002E-7</v>
      </c>
      <c r="L275">
        <v>2.2686013000000001E-2</v>
      </c>
      <c r="M275" s="1">
        <v>8.9666229999999994E-5</v>
      </c>
      <c r="N275">
        <v>-1.4697594</v>
      </c>
      <c r="O275">
        <v>3.9254171999999997E-3</v>
      </c>
      <c r="P275" s="1">
        <v>1.9413003000000001E-8</v>
      </c>
      <c r="Q275" t="s">
        <v>187</v>
      </c>
      <c r="R275">
        <v>1.3453243000000001E-3</v>
      </c>
      <c r="S275" s="1">
        <v>1.8110440000000001E-5</v>
      </c>
    </row>
    <row r="276" spans="1:19" x14ac:dyDescent="0.2">
      <c r="A276" t="s">
        <v>568</v>
      </c>
      <c r="B276">
        <v>3.5217000000000001</v>
      </c>
      <c r="C276" t="s">
        <v>569</v>
      </c>
      <c r="D276" s="1">
        <v>728294530</v>
      </c>
      <c r="E276">
        <v>5905.5738000000001</v>
      </c>
      <c r="F276">
        <v>0.1873882</v>
      </c>
      <c r="G276">
        <v>1.8180857999999999E-3</v>
      </c>
      <c r="H276" s="1">
        <v>9.9895749E-6</v>
      </c>
      <c r="I276" s="1">
        <v>3.2816582999999998E-8</v>
      </c>
      <c r="J276" s="1">
        <v>1.0497177E-5</v>
      </c>
      <c r="K276" s="1">
        <v>3.8356424E-7</v>
      </c>
      <c r="L276">
        <v>2.2335165000000001E-2</v>
      </c>
      <c r="M276" s="1">
        <v>8.9117516000000006E-5</v>
      </c>
      <c r="N276">
        <v>-1.4529844000000001</v>
      </c>
      <c r="O276">
        <v>3.9644099999999998E-3</v>
      </c>
      <c r="P276" s="1">
        <v>1.9831423E-8</v>
      </c>
      <c r="Q276" t="s">
        <v>187</v>
      </c>
      <c r="R276">
        <v>1.2797711999999999E-3</v>
      </c>
      <c r="S276" s="1">
        <v>1.8225445E-5</v>
      </c>
    </row>
    <row r="277" spans="1:19" x14ac:dyDescent="0.2">
      <c r="A277" t="s">
        <v>570</v>
      </c>
      <c r="B277">
        <v>3.5217000000000001</v>
      </c>
      <c r="C277" t="s">
        <v>571</v>
      </c>
      <c r="D277" s="1">
        <v>728493930</v>
      </c>
      <c r="E277">
        <v>6212.0955000000004</v>
      </c>
      <c r="F277">
        <v>0.18342035000000001</v>
      </c>
      <c r="G277">
        <v>1.7881259000000001E-3</v>
      </c>
      <c r="H277" s="1">
        <v>9.8893899999999999E-6</v>
      </c>
      <c r="I277" s="1">
        <v>3.2391527000000001E-8</v>
      </c>
      <c r="J277" s="1">
        <v>9.0933600000000006E-6</v>
      </c>
      <c r="K277" s="1">
        <v>4.0032652000000001E-7</v>
      </c>
      <c r="L277">
        <v>2.2447445E-2</v>
      </c>
      <c r="M277" s="1">
        <v>8.9013301999999996E-5</v>
      </c>
      <c r="N277">
        <v>-1.4914296</v>
      </c>
      <c r="O277">
        <v>3.9378153000000004E-3</v>
      </c>
      <c r="P277" s="1">
        <v>1.9798888999999999E-8</v>
      </c>
      <c r="Q277" t="s">
        <v>187</v>
      </c>
      <c r="R277">
        <v>1.0880447000000001E-3</v>
      </c>
      <c r="S277" s="1">
        <v>1.8306096999999999E-5</v>
      </c>
    </row>
    <row r="278" spans="1:19" x14ac:dyDescent="0.2">
      <c r="A278" t="s">
        <v>572</v>
      </c>
      <c r="B278">
        <v>3.5217000000000001</v>
      </c>
      <c r="C278" t="s">
        <v>573</v>
      </c>
      <c r="D278" s="1">
        <v>728241800</v>
      </c>
      <c r="E278">
        <v>6375.7125999999998</v>
      </c>
      <c r="F278">
        <v>0.18501208999999999</v>
      </c>
      <c r="G278">
        <v>1.8035681E-3</v>
      </c>
      <c r="H278" s="1">
        <v>9.9764767000000007E-6</v>
      </c>
      <c r="I278" s="1">
        <v>3.2536341999999997E-8</v>
      </c>
      <c r="J278" s="1">
        <v>9.3277898000000001E-6</v>
      </c>
      <c r="K278" s="1">
        <v>3.9687021999999998E-7</v>
      </c>
      <c r="L278">
        <v>2.3099622E-2</v>
      </c>
      <c r="M278" s="1">
        <v>9.1863139999999994E-5</v>
      </c>
      <c r="N278">
        <v>-1.4695180999999999</v>
      </c>
      <c r="O278">
        <v>3.9487608000000002E-3</v>
      </c>
      <c r="P278" s="1">
        <v>1.8950982E-8</v>
      </c>
      <c r="Q278" t="s">
        <v>187</v>
      </c>
      <c r="R278">
        <v>1.2619177E-3</v>
      </c>
      <c r="S278" s="1">
        <v>1.8128025000000002E-5</v>
      </c>
    </row>
    <row r="279" spans="1:19" x14ac:dyDescent="0.2">
      <c r="A279" t="s">
        <v>574</v>
      </c>
      <c r="B279">
        <v>3.5217000000000001</v>
      </c>
      <c r="C279" t="s">
        <v>575</v>
      </c>
      <c r="D279" s="1">
        <v>728504750</v>
      </c>
      <c r="E279">
        <v>6204.7042000000001</v>
      </c>
      <c r="F279">
        <v>0.18436838</v>
      </c>
      <c r="G279">
        <v>1.7870207000000001E-3</v>
      </c>
      <c r="H279" s="1">
        <v>9.9536940999999994E-6</v>
      </c>
      <c r="I279" s="1">
        <v>3.2343257999999997E-8</v>
      </c>
      <c r="J279" s="1">
        <v>9.3512480000000008E-6</v>
      </c>
      <c r="K279" s="1">
        <v>3.9467614000000001E-7</v>
      </c>
      <c r="L279">
        <v>2.2324371999999999E-2</v>
      </c>
      <c r="M279" s="1">
        <v>8.8406625999999999E-5</v>
      </c>
      <c r="N279">
        <v>-1.4843446</v>
      </c>
      <c r="O279">
        <v>3.9329237999999999E-3</v>
      </c>
      <c r="P279" s="1">
        <v>1.9730501E-8</v>
      </c>
      <c r="Q279" t="s">
        <v>187</v>
      </c>
      <c r="R279">
        <v>1.0485080999999999E-3</v>
      </c>
      <c r="S279" s="1">
        <v>1.8048865E-5</v>
      </c>
    </row>
    <row r="280" spans="1:19" x14ac:dyDescent="0.2">
      <c r="A280" t="s">
        <v>576</v>
      </c>
      <c r="B280">
        <v>3.5217000000000001</v>
      </c>
      <c r="C280" t="s">
        <v>577</v>
      </c>
      <c r="D280" s="1">
        <v>728594790</v>
      </c>
      <c r="E280">
        <v>6495.1508999999996</v>
      </c>
      <c r="F280">
        <v>0.18138091000000001</v>
      </c>
      <c r="G280">
        <v>1.813395E-3</v>
      </c>
      <c r="H280" s="1">
        <v>9.8749186999999997E-6</v>
      </c>
      <c r="I280" s="1">
        <v>3.3035488000000001E-8</v>
      </c>
      <c r="J280" s="1">
        <v>8.6166451999999994E-6</v>
      </c>
      <c r="K280" s="1">
        <v>4.154775E-7</v>
      </c>
      <c r="L280">
        <v>2.2477255000000002E-2</v>
      </c>
      <c r="M280" s="1">
        <v>9.0909910999999999E-5</v>
      </c>
      <c r="N280">
        <v>-1.4871052</v>
      </c>
      <c r="O280">
        <v>4.0167726999999999E-3</v>
      </c>
      <c r="P280" s="1">
        <v>1.9672152000000001E-8</v>
      </c>
      <c r="Q280" t="s">
        <v>187</v>
      </c>
      <c r="R280">
        <v>1.0876167E-3</v>
      </c>
      <c r="S280" s="1">
        <v>1.8621447999999999E-5</v>
      </c>
    </row>
    <row r="281" spans="1:19" x14ac:dyDescent="0.2">
      <c r="A281" t="s">
        <v>578</v>
      </c>
      <c r="B281">
        <v>3.5217000000000001</v>
      </c>
      <c r="C281" t="s">
        <v>579</v>
      </c>
      <c r="D281" s="1">
        <v>728313570</v>
      </c>
      <c r="E281">
        <v>6180.9531999999999</v>
      </c>
      <c r="F281">
        <v>0.18035023999999999</v>
      </c>
      <c r="G281">
        <v>1.7447803999999999E-3</v>
      </c>
      <c r="H281" s="1">
        <v>9.9403722000000005E-6</v>
      </c>
      <c r="I281" s="1">
        <v>3.2439822999999998E-8</v>
      </c>
      <c r="J281" s="1">
        <v>9.8233362999999996E-6</v>
      </c>
      <c r="K281" s="1">
        <v>3.895905E-7</v>
      </c>
      <c r="L281">
        <v>2.2513057999999999E-2</v>
      </c>
      <c r="M281" s="1">
        <v>8.9097062000000001E-5</v>
      </c>
      <c r="N281">
        <v>-1.4604288999999999</v>
      </c>
      <c r="O281">
        <v>3.9305931999999997E-3</v>
      </c>
      <c r="P281" s="1">
        <v>1.9005537E-8</v>
      </c>
      <c r="Q281" t="s">
        <v>187</v>
      </c>
      <c r="R281">
        <v>1.3892342999999999E-3</v>
      </c>
      <c r="S281" s="1">
        <v>1.7670391000000001E-5</v>
      </c>
    </row>
    <row r="282" spans="1:19" x14ac:dyDescent="0.2">
      <c r="A282" t="s">
        <v>580</v>
      </c>
      <c r="B282">
        <v>3.5217000000000001</v>
      </c>
      <c r="C282" t="s">
        <v>581</v>
      </c>
      <c r="D282" s="1">
        <v>728563450</v>
      </c>
      <c r="E282">
        <v>6017.6953999999996</v>
      </c>
      <c r="F282">
        <v>0.17962273000000001</v>
      </c>
      <c r="G282">
        <v>1.7095031000000001E-3</v>
      </c>
      <c r="H282" s="1">
        <v>9.9092884000000004E-6</v>
      </c>
      <c r="I282" s="1">
        <v>3.1764006000000001E-8</v>
      </c>
      <c r="J282" s="1">
        <v>9.4631675000000006E-6</v>
      </c>
      <c r="K282" s="1">
        <v>3.8706681000000001E-7</v>
      </c>
      <c r="L282">
        <v>2.2301376000000001E-2</v>
      </c>
      <c r="M282" s="1">
        <v>8.6731409999999995E-5</v>
      </c>
      <c r="N282">
        <v>-1.4830700999999999</v>
      </c>
      <c r="O282">
        <v>3.8619845999999999E-3</v>
      </c>
      <c r="P282" s="1">
        <v>1.9264854000000001E-8</v>
      </c>
      <c r="Q282" t="s">
        <v>187</v>
      </c>
      <c r="R282">
        <v>1.3991453E-3</v>
      </c>
      <c r="S282" s="1">
        <v>1.7427091999999999E-5</v>
      </c>
    </row>
    <row r="283" spans="1:19" x14ac:dyDescent="0.2">
      <c r="A283" t="s">
        <v>582</v>
      </c>
      <c r="B283">
        <v>3.5217000000000001</v>
      </c>
      <c r="C283" t="s">
        <v>583</v>
      </c>
      <c r="D283" s="1">
        <v>728203870</v>
      </c>
      <c r="E283">
        <v>6626.2909</v>
      </c>
      <c r="F283">
        <v>0.18855321999999999</v>
      </c>
      <c r="G283">
        <v>1.8423128000000001E-3</v>
      </c>
      <c r="H283" s="1">
        <v>9.9556430999999992E-6</v>
      </c>
      <c r="I283" s="1">
        <v>3.2650869999999997E-8</v>
      </c>
      <c r="J283" s="1">
        <v>9.4805310999999999E-6</v>
      </c>
      <c r="K283" s="1">
        <v>3.9658353000000002E-7</v>
      </c>
      <c r="L283">
        <v>2.3117597E-2</v>
      </c>
      <c r="M283" s="1">
        <v>9.3377215000000005E-5</v>
      </c>
      <c r="N283">
        <v>-1.4618681</v>
      </c>
      <c r="O283">
        <v>4.0114644000000003E-3</v>
      </c>
      <c r="P283" s="1">
        <v>1.9133481000000001E-8</v>
      </c>
      <c r="Q283" t="s">
        <v>187</v>
      </c>
      <c r="R283">
        <v>1.2906033000000001E-3</v>
      </c>
      <c r="S283" s="1">
        <v>1.8598699999999999E-5</v>
      </c>
    </row>
    <row r="284" spans="1:19" x14ac:dyDescent="0.2">
      <c r="A284" t="s">
        <v>584</v>
      </c>
      <c r="B284">
        <v>3.5217000000000001</v>
      </c>
      <c r="C284" t="s">
        <v>585</v>
      </c>
      <c r="D284" s="1">
        <v>728510700</v>
      </c>
      <c r="E284">
        <v>5742.0577999999996</v>
      </c>
      <c r="F284">
        <v>0.18984073000000001</v>
      </c>
      <c r="G284">
        <v>1.7931777E-3</v>
      </c>
      <c r="H284" s="1">
        <v>9.9494022000000003E-6</v>
      </c>
      <c r="I284" s="1">
        <v>3.1841991000000002E-8</v>
      </c>
      <c r="J284" s="1">
        <v>1.0320361E-5</v>
      </c>
      <c r="K284" s="1">
        <v>3.7567440999999998E-7</v>
      </c>
      <c r="L284">
        <v>2.1943297E-2</v>
      </c>
      <c r="M284">
        <v>1.2545794E-4</v>
      </c>
      <c r="N284">
        <v>-1.4663147000000001</v>
      </c>
      <c r="O284">
        <v>3.8501106000000001E-3</v>
      </c>
      <c r="P284" s="1">
        <v>2.0813697E-8</v>
      </c>
      <c r="Q284" s="1">
        <v>1.4865401E-10</v>
      </c>
      <c r="R284">
        <v>9.3787527000000002E-4</v>
      </c>
      <c r="S284" s="1">
        <v>1.8113278000000001E-5</v>
      </c>
    </row>
    <row r="285" spans="1:19" x14ac:dyDescent="0.2">
      <c r="A285" t="s">
        <v>586</v>
      </c>
      <c r="B285">
        <v>3.5217000000000001</v>
      </c>
      <c r="C285" t="s">
        <v>587</v>
      </c>
      <c r="D285" s="1">
        <v>728673740</v>
      </c>
      <c r="E285">
        <v>5881.3158000000003</v>
      </c>
      <c r="F285">
        <v>0.18738339000000001</v>
      </c>
      <c r="G285">
        <v>1.7980063999999999E-3</v>
      </c>
      <c r="H285" s="1">
        <v>9.9829660999999994E-6</v>
      </c>
      <c r="I285" s="1">
        <v>3.2290290999999997E-8</v>
      </c>
      <c r="J285" s="1">
        <v>1.0093148E-5</v>
      </c>
      <c r="K285" s="1">
        <v>3.8333833000000002E-7</v>
      </c>
      <c r="L285">
        <v>2.1577242999999999E-2</v>
      </c>
      <c r="M285">
        <v>1.2476794E-4</v>
      </c>
      <c r="N285">
        <v>-1.482108</v>
      </c>
      <c r="O285">
        <v>3.8933106999999999E-3</v>
      </c>
      <c r="P285" s="1">
        <v>2.0911663000000001E-8</v>
      </c>
      <c r="Q285" s="1">
        <v>1.5113921E-10</v>
      </c>
      <c r="R285">
        <v>1.0127175E-3</v>
      </c>
      <c r="S285" s="1">
        <v>1.8035162999999998E-5</v>
      </c>
    </row>
    <row r="286" spans="1:19" x14ac:dyDescent="0.2">
      <c r="A286" t="s">
        <v>588</v>
      </c>
      <c r="B286">
        <v>3.5217000000000001</v>
      </c>
      <c r="C286" t="s">
        <v>589</v>
      </c>
      <c r="D286" s="1">
        <v>728859690</v>
      </c>
      <c r="E286">
        <v>6145.5123999999996</v>
      </c>
      <c r="F286">
        <v>0.18783208000000001</v>
      </c>
      <c r="G286">
        <v>1.8076699999999999E-3</v>
      </c>
      <c r="H286" s="1">
        <v>9.9859932999999996E-6</v>
      </c>
      <c r="I286" s="1">
        <v>3.2433627999999998E-8</v>
      </c>
      <c r="J286" s="1">
        <v>1.0218964E-5</v>
      </c>
      <c r="K286" s="1">
        <v>3.8323938000000001E-7</v>
      </c>
      <c r="L286">
        <v>2.1734389E-2</v>
      </c>
      <c r="M286">
        <v>1.2656262E-4</v>
      </c>
      <c r="N286">
        <v>-1.5006809999999999</v>
      </c>
      <c r="O286">
        <v>3.9191492999999999E-3</v>
      </c>
      <c r="P286" s="1">
        <v>2.0669296E-8</v>
      </c>
      <c r="Q286" s="1">
        <v>1.5018025999999999E-10</v>
      </c>
      <c r="R286">
        <v>1.1177133000000001E-3</v>
      </c>
      <c r="S286" s="1">
        <v>1.8120318999999999E-5</v>
      </c>
    </row>
    <row r="287" spans="1:19" x14ac:dyDescent="0.2">
      <c r="A287" t="s">
        <v>590</v>
      </c>
      <c r="B287">
        <v>3.5217000000000001</v>
      </c>
      <c r="C287" t="s">
        <v>591</v>
      </c>
      <c r="D287" s="1">
        <v>728515300</v>
      </c>
      <c r="E287">
        <v>6214.9041999999999</v>
      </c>
      <c r="F287">
        <v>0.18900077000000001</v>
      </c>
      <c r="G287">
        <v>1.8422889E-3</v>
      </c>
      <c r="H287" s="1">
        <v>9.9823808999999992E-6</v>
      </c>
      <c r="I287" s="1">
        <v>3.2790028999999997E-8</v>
      </c>
      <c r="J287" s="1">
        <v>1.0021662E-5</v>
      </c>
      <c r="K287" s="1">
        <v>3.9004449E-7</v>
      </c>
      <c r="L287">
        <v>2.2386004000000001E-2</v>
      </c>
      <c r="M287" s="1">
        <v>9.0498664999999999E-5</v>
      </c>
      <c r="N287">
        <v>-1.4639716</v>
      </c>
      <c r="O287">
        <v>4.0164698999999998E-3</v>
      </c>
      <c r="P287" s="1">
        <v>1.9803108E-8</v>
      </c>
      <c r="Q287" t="s">
        <v>187</v>
      </c>
      <c r="R287">
        <v>1.1900169E-3</v>
      </c>
      <c r="S287" s="1">
        <v>1.8495815000000001E-5</v>
      </c>
    </row>
    <row r="288" spans="1:19" x14ac:dyDescent="0.2">
      <c r="A288" t="s">
        <v>592</v>
      </c>
      <c r="B288">
        <v>3.5217000000000001</v>
      </c>
      <c r="C288" t="s">
        <v>593</v>
      </c>
      <c r="D288" s="1">
        <v>728779330</v>
      </c>
      <c r="E288">
        <v>6004.9570000000003</v>
      </c>
      <c r="F288">
        <v>0.19020496000000001</v>
      </c>
      <c r="G288">
        <v>1.7776313000000001E-3</v>
      </c>
      <c r="H288" s="1">
        <v>9.9937356999999992E-6</v>
      </c>
      <c r="I288" s="1">
        <v>3.1547194E-8</v>
      </c>
      <c r="J288" s="1">
        <v>1.0349641E-5</v>
      </c>
      <c r="K288" s="1">
        <v>3.7086487000000001E-7</v>
      </c>
      <c r="L288">
        <v>2.2193556999999999E-2</v>
      </c>
      <c r="M288">
        <v>1.2675227999999999E-4</v>
      </c>
      <c r="N288">
        <v>-1.4712889</v>
      </c>
      <c r="O288">
        <v>3.8447169000000001E-3</v>
      </c>
      <c r="P288" s="1">
        <v>2.0162296000000001E-8</v>
      </c>
      <c r="Q288" s="1">
        <v>1.4319938000000001E-10</v>
      </c>
      <c r="R288">
        <v>7.9730394E-4</v>
      </c>
      <c r="S288" s="1">
        <v>1.7789214000000001E-5</v>
      </c>
    </row>
    <row r="289" spans="1:19" x14ac:dyDescent="0.2">
      <c r="A289" t="s">
        <v>594</v>
      </c>
      <c r="B289">
        <v>3.5217000000000001</v>
      </c>
      <c r="C289" t="s">
        <v>595</v>
      </c>
      <c r="D289" s="1">
        <v>728833810</v>
      </c>
      <c r="E289">
        <v>5824.4285</v>
      </c>
      <c r="F289">
        <v>0.17956822</v>
      </c>
      <c r="G289">
        <v>1.7245457000000001E-3</v>
      </c>
      <c r="H289" s="1">
        <v>9.8643058999999995E-6</v>
      </c>
      <c r="I289" s="1">
        <v>3.1920627999999999E-8</v>
      </c>
      <c r="J289" s="1">
        <v>9.2164340000000001E-6</v>
      </c>
      <c r="K289" s="1">
        <v>3.9361435999999998E-7</v>
      </c>
      <c r="L289">
        <v>2.1220449999999998E-2</v>
      </c>
      <c r="M289">
        <v>1.2292419999999999E-4</v>
      </c>
      <c r="N289">
        <v>-1.4795455</v>
      </c>
      <c r="O289">
        <v>3.9003465E-3</v>
      </c>
      <c r="P289" s="1">
        <v>2.0634674000000001E-8</v>
      </c>
      <c r="Q289" s="1">
        <v>1.4913600000000001E-10</v>
      </c>
      <c r="R289">
        <v>1.0709324000000001E-3</v>
      </c>
      <c r="S289" s="1">
        <v>1.7734959999999999E-5</v>
      </c>
    </row>
    <row r="290" spans="1:19" x14ac:dyDescent="0.2">
      <c r="A290" t="s">
        <v>596</v>
      </c>
      <c r="B290">
        <v>3.5217000000000001</v>
      </c>
      <c r="C290" t="s">
        <v>597</v>
      </c>
      <c r="D290" s="1">
        <v>728903490</v>
      </c>
      <c r="E290">
        <v>5756.4117999999999</v>
      </c>
      <c r="F290">
        <v>0.18522164999999999</v>
      </c>
      <c r="G290">
        <v>1.7656771E-3</v>
      </c>
      <c r="H290" s="1">
        <v>9.9744315000000001E-6</v>
      </c>
      <c r="I290" s="1">
        <v>3.2215717999999998E-8</v>
      </c>
      <c r="J290" s="1">
        <v>1.0495033000000001E-5</v>
      </c>
      <c r="K290" s="1">
        <v>3.7716341999999999E-7</v>
      </c>
      <c r="L290">
        <v>2.1964092000000001E-2</v>
      </c>
      <c r="M290">
        <v>1.2630903999999999E-4</v>
      </c>
      <c r="N290">
        <v>-1.4696537000000001</v>
      </c>
      <c r="O290">
        <v>3.8718122000000002E-3</v>
      </c>
      <c r="P290" s="1">
        <v>2.0145451000000001E-8</v>
      </c>
      <c r="Q290" s="1">
        <v>1.4405934999999999E-10</v>
      </c>
      <c r="R290">
        <v>1.2213051E-3</v>
      </c>
      <c r="S290" s="1">
        <v>1.7740926999999999E-5</v>
      </c>
    </row>
    <row r="291" spans="1:19" x14ac:dyDescent="0.2">
      <c r="A291" t="s">
        <v>598</v>
      </c>
      <c r="B291">
        <v>3.5217000000000001</v>
      </c>
      <c r="C291" t="s">
        <v>599</v>
      </c>
      <c r="D291" s="1">
        <v>728567890</v>
      </c>
      <c r="E291">
        <v>6340.4341999999997</v>
      </c>
      <c r="F291">
        <v>0.19252058</v>
      </c>
      <c r="G291">
        <v>1.8738797E-3</v>
      </c>
      <c r="H291" s="1">
        <v>1.0038200999999999E-5</v>
      </c>
      <c r="I291" s="1">
        <v>3.2961564000000001E-8</v>
      </c>
      <c r="J291" s="1">
        <v>1.0546065999999999E-5</v>
      </c>
      <c r="K291" s="1">
        <v>3.8375288999999998E-7</v>
      </c>
      <c r="L291">
        <v>2.2221626000000001E-2</v>
      </c>
      <c r="M291">
        <v>1.3345728000000001E-4</v>
      </c>
      <c r="N291">
        <v>-1.4604191</v>
      </c>
      <c r="O291">
        <v>4.0428972999999998E-3</v>
      </c>
      <c r="P291" s="1">
        <v>2.0036249999999999E-8</v>
      </c>
      <c r="Q291" s="1">
        <v>1.4950842999999999E-10</v>
      </c>
      <c r="R291">
        <v>1.1493161999999999E-3</v>
      </c>
      <c r="S291" s="1">
        <v>1.8579267999999999E-5</v>
      </c>
    </row>
    <row r="292" spans="1:19" x14ac:dyDescent="0.2">
      <c r="A292" t="s">
        <v>600</v>
      </c>
      <c r="B292">
        <v>3.5217000000000001</v>
      </c>
      <c r="C292" t="s">
        <v>601</v>
      </c>
      <c r="D292" s="1">
        <v>728836250</v>
      </c>
      <c r="E292">
        <v>6187.1585999999998</v>
      </c>
      <c r="F292">
        <v>0.18755166000000001</v>
      </c>
      <c r="G292">
        <v>1.8284142000000001E-3</v>
      </c>
      <c r="H292" s="1">
        <v>1.0033871E-5</v>
      </c>
      <c r="I292" s="1">
        <v>3.2914595000000001E-8</v>
      </c>
      <c r="J292" s="1">
        <v>1.0243735000000001E-5</v>
      </c>
      <c r="K292" s="1">
        <v>3.8726231999999999E-7</v>
      </c>
      <c r="L292">
        <v>2.2633231E-2</v>
      </c>
      <c r="M292" s="1">
        <v>9.0452432000000002E-5</v>
      </c>
      <c r="N292">
        <v>-1.4928125000000001</v>
      </c>
      <c r="O292">
        <v>3.9688652000000003E-3</v>
      </c>
      <c r="P292" s="1">
        <v>1.9458344999999999E-8</v>
      </c>
      <c r="Q292" t="s">
        <v>187</v>
      </c>
      <c r="R292">
        <v>1.0498371999999999E-3</v>
      </c>
      <c r="S292" s="1">
        <v>1.8160111999999999E-5</v>
      </c>
    </row>
    <row r="293" spans="1:19" x14ac:dyDescent="0.2">
      <c r="A293" t="s">
        <v>602</v>
      </c>
      <c r="B293">
        <v>3.5217000000000001</v>
      </c>
      <c r="C293" t="s">
        <v>603</v>
      </c>
      <c r="D293" s="1">
        <v>728751600</v>
      </c>
      <c r="E293">
        <v>5705.3041000000003</v>
      </c>
      <c r="F293">
        <v>0.18511685</v>
      </c>
      <c r="G293">
        <v>1.7316292E-3</v>
      </c>
      <c r="H293" s="1">
        <v>9.9207832E-6</v>
      </c>
      <c r="I293" s="1">
        <v>3.1309825999999998E-8</v>
      </c>
      <c r="J293" s="1">
        <v>9.7411891000000007E-6</v>
      </c>
      <c r="K293" s="1">
        <v>3.7778647E-7</v>
      </c>
      <c r="L293">
        <v>2.2387337E-2</v>
      </c>
      <c r="M293">
        <v>1.2551947000000001E-4</v>
      </c>
      <c r="N293">
        <v>-1.4738287000000001</v>
      </c>
      <c r="O293">
        <v>3.7737287999999999E-3</v>
      </c>
      <c r="P293" s="1">
        <v>2.0003335999999998E-8</v>
      </c>
      <c r="Q293" s="1">
        <v>1.3930658E-10</v>
      </c>
      <c r="R293">
        <v>1.2160784999999999E-3</v>
      </c>
      <c r="S293" s="1">
        <v>1.7595564E-5</v>
      </c>
    </row>
    <row r="294" spans="1:19" x14ac:dyDescent="0.2">
      <c r="A294" t="s">
        <v>604</v>
      </c>
      <c r="B294">
        <v>3.5217000000000001</v>
      </c>
      <c r="C294" t="s">
        <v>605</v>
      </c>
      <c r="D294" s="1">
        <v>728767440</v>
      </c>
      <c r="E294">
        <v>5950.6490000000003</v>
      </c>
      <c r="F294">
        <v>0.18267406</v>
      </c>
      <c r="G294">
        <v>1.7332782000000001E-3</v>
      </c>
      <c r="H294" s="1">
        <v>9.8863495999999992E-6</v>
      </c>
      <c r="I294" s="1">
        <v>3.1591126000000002E-8</v>
      </c>
      <c r="J294" s="1">
        <v>9.2893149000000004E-6</v>
      </c>
      <c r="K294" s="1">
        <v>3.8783298999999999E-7</v>
      </c>
      <c r="L294">
        <v>2.2843308E-2</v>
      </c>
      <c r="M294" s="1">
        <v>8.7880595E-5</v>
      </c>
      <c r="N294">
        <v>-1.4797464</v>
      </c>
      <c r="O294">
        <v>3.8212057000000001E-3</v>
      </c>
      <c r="P294" s="1">
        <v>1.9354672999999999E-8</v>
      </c>
      <c r="Q294" t="s">
        <v>187</v>
      </c>
      <c r="R294">
        <v>1.4434451E-3</v>
      </c>
      <c r="S294" s="1">
        <v>1.7755317999999998E-5</v>
      </c>
    </row>
    <row r="295" spans="1:19" x14ac:dyDescent="0.2">
      <c r="A295" t="s">
        <v>606</v>
      </c>
      <c r="B295">
        <v>3.5217000000000001</v>
      </c>
      <c r="C295" t="s">
        <v>607</v>
      </c>
      <c r="D295" s="1">
        <v>728156030</v>
      </c>
      <c r="E295">
        <v>6009.8777</v>
      </c>
      <c r="F295">
        <v>0.18076275</v>
      </c>
      <c r="G295">
        <v>1.7378353E-3</v>
      </c>
      <c r="H295" s="1">
        <v>9.8804396000000008E-6</v>
      </c>
      <c r="I295" s="1">
        <v>3.1480009999999998E-8</v>
      </c>
      <c r="J295" s="1">
        <v>7.7691528999999999E-6</v>
      </c>
      <c r="K295" s="1">
        <v>4.0753845999999998E-7</v>
      </c>
      <c r="L295">
        <v>2.3127895999999998E-2</v>
      </c>
      <c r="M295" s="1">
        <v>8.9226157999999995E-5</v>
      </c>
      <c r="N295">
        <v>-1.4371111000000001</v>
      </c>
      <c r="O295">
        <v>3.8330220000000002E-3</v>
      </c>
      <c r="P295" s="1">
        <v>1.9069429000000001E-8</v>
      </c>
      <c r="Q295" t="s">
        <v>187</v>
      </c>
      <c r="R295">
        <v>1.2546111999999999E-3</v>
      </c>
      <c r="S295" s="1">
        <v>1.7823727000000001E-5</v>
      </c>
    </row>
    <row r="296" spans="1:19" x14ac:dyDescent="0.2">
      <c r="A296" t="s">
        <v>608</v>
      </c>
      <c r="B296">
        <v>3.5217000000000001</v>
      </c>
      <c r="C296" t="s">
        <v>609</v>
      </c>
      <c r="D296" s="1">
        <v>729039070</v>
      </c>
      <c r="E296">
        <v>5831.0681000000004</v>
      </c>
      <c r="F296">
        <v>0.18571259000000001</v>
      </c>
      <c r="G296">
        <v>1.7662494E-3</v>
      </c>
      <c r="H296" s="1">
        <v>9.9301528000000001E-6</v>
      </c>
      <c r="I296" s="1">
        <v>3.1997440999999997E-8</v>
      </c>
      <c r="J296" s="1">
        <v>1.0142614E-5</v>
      </c>
      <c r="K296" s="1">
        <v>3.8011612999999998E-7</v>
      </c>
      <c r="L296">
        <v>2.225974E-2</v>
      </c>
      <c r="M296" s="1">
        <v>8.7512792000000005E-5</v>
      </c>
      <c r="N296">
        <v>-1.4939465000000001</v>
      </c>
      <c r="O296">
        <v>3.9052274E-3</v>
      </c>
      <c r="P296" s="1">
        <v>1.9771226000000001E-8</v>
      </c>
      <c r="Q296" t="s">
        <v>187</v>
      </c>
      <c r="R296">
        <v>1.0002994E-3</v>
      </c>
      <c r="S296" s="1">
        <v>1.7927544000000001E-5</v>
      </c>
    </row>
    <row r="297" spans="1:19" x14ac:dyDescent="0.2">
      <c r="A297" t="s">
        <v>610</v>
      </c>
      <c r="B297">
        <v>3.5217000000000001</v>
      </c>
      <c r="C297" t="s">
        <v>611</v>
      </c>
      <c r="D297" s="1">
        <v>728837540</v>
      </c>
      <c r="E297">
        <v>6426.3154000000004</v>
      </c>
      <c r="F297">
        <v>0.18682988</v>
      </c>
      <c r="G297">
        <v>1.8114191999999999E-3</v>
      </c>
      <c r="H297" s="1">
        <v>9.9256162000000006E-6</v>
      </c>
      <c r="I297" s="1">
        <v>3.2665752000000003E-8</v>
      </c>
      <c r="J297" s="1">
        <v>1.0282226000000001E-5</v>
      </c>
      <c r="K297" s="1">
        <v>3.8623015E-7</v>
      </c>
      <c r="L297">
        <v>2.2854375E-2</v>
      </c>
      <c r="M297" s="1">
        <v>9.1806893000000004E-5</v>
      </c>
      <c r="N297">
        <v>-1.4919909</v>
      </c>
      <c r="O297">
        <v>3.9891075000000002E-3</v>
      </c>
      <c r="P297" s="1">
        <v>1.9235222000000001E-8</v>
      </c>
      <c r="Q297" t="s">
        <v>187</v>
      </c>
      <c r="R297">
        <v>1.4629974000000001E-3</v>
      </c>
      <c r="S297" s="1">
        <v>1.8402676E-5</v>
      </c>
    </row>
    <row r="298" spans="1:19" x14ac:dyDescent="0.2">
      <c r="A298" t="s">
        <v>612</v>
      </c>
      <c r="B298">
        <v>3.5217000000000001</v>
      </c>
      <c r="C298" t="s">
        <v>613</v>
      </c>
      <c r="D298" s="1">
        <v>728815750</v>
      </c>
      <c r="E298">
        <v>6026.1535000000003</v>
      </c>
      <c r="F298">
        <v>0.18922628</v>
      </c>
      <c r="G298">
        <v>1.8394652E-3</v>
      </c>
      <c r="H298" s="1">
        <v>9.9743538999999998E-6</v>
      </c>
      <c r="I298" s="1">
        <v>3.2865594999999998E-8</v>
      </c>
      <c r="J298" s="1">
        <v>1.0491505E-5</v>
      </c>
      <c r="K298" s="1">
        <v>3.8456729000000002E-7</v>
      </c>
      <c r="L298">
        <v>2.2652953999999999E-2</v>
      </c>
      <c r="M298" s="1">
        <v>9.1739711000000002E-5</v>
      </c>
      <c r="N298">
        <v>-1.4715301000000001</v>
      </c>
      <c r="O298">
        <v>4.0233624000000001E-3</v>
      </c>
      <c r="P298" s="1">
        <v>1.9456583E-8</v>
      </c>
      <c r="Q298" t="s">
        <v>187</v>
      </c>
      <c r="R298">
        <v>1.2089861E-3</v>
      </c>
      <c r="S298" s="1">
        <v>1.8497946E-5</v>
      </c>
    </row>
    <row r="299" spans="1:19" x14ac:dyDescent="0.2">
      <c r="A299" t="s">
        <v>614</v>
      </c>
      <c r="B299">
        <v>3.5217000000000001</v>
      </c>
      <c r="C299" t="s">
        <v>615</v>
      </c>
      <c r="D299" s="1">
        <v>728664270</v>
      </c>
      <c r="E299">
        <v>5811.8779999999997</v>
      </c>
      <c r="F299">
        <v>0.18231678000000001</v>
      </c>
      <c r="G299">
        <v>1.7556799999999999E-3</v>
      </c>
      <c r="H299" s="1">
        <v>9.8868616999999997E-6</v>
      </c>
      <c r="I299" s="1">
        <v>3.1965093999999999E-8</v>
      </c>
      <c r="J299" s="1">
        <v>9.0539198999999996E-6</v>
      </c>
      <c r="K299" s="1">
        <v>3.9593348E-7</v>
      </c>
      <c r="L299">
        <v>2.2237130000000001E-2</v>
      </c>
      <c r="M299">
        <v>1.2796476E-4</v>
      </c>
      <c r="N299">
        <v>-1.4641837</v>
      </c>
      <c r="O299">
        <v>3.8737617000000001E-3</v>
      </c>
      <c r="P299" s="1">
        <v>1.9981070000000001E-8</v>
      </c>
      <c r="Q299" s="1">
        <v>1.4280551999999999E-10</v>
      </c>
      <c r="R299">
        <v>1.3801054000000001E-3</v>
      </c>
      <c r="S299" s="1">
        <v>1.7967875999999999E-5</v>
      </c>
    </row>
    <row r="300" spans="1:19" x14ac:dyDescent="0.2">
      <c r="A300" t="s">
        <v>616</v>
      </c>
      <c r="B300">
        <v>3.5217000000000001</v>
      </c>
      <c r="C300" t="s">
        <v>617</v>
      </c>
      <c r="D300" s="1">
        <v>728736380</v>
      </c>
      <c r="E300">
        <v>5901.6553000000004</v>
      </c>
      <c r="F300">
        <v>0.19008642000000001</v>
      </c>
      <c r="G300">
        <v>1.7489424E-3</v>
      </c>
      <c r="H300" s="1">
        <v>1.0021983999999999E-5</v>
      </c>
      <c r="I300" s="1">
        <v>3.1187821E-8</v>
      </c>
      <c r="J300" s="1">
        <v>1.0623092E-5</v>
      </c>
      <c r="K300" s="1">
        <v>3.6218109000000001E-7</v>
      </c>
      <c r="L300">
        <v>2.2339026000000001E-2</v>
      </c>
      <c r="M300" s="1">
        <v>8.6008215999999998E-5</v>
      </c>
      <c r="N300">
        <v>-1.4766153</v>
      </c>
      <c r="O300">
        <v>3.8246703000000002E-3</v>
      </c>
      <c r="P300" s="1">
        <v>1.9641233999999999E-8</v>
      </c>
      <c r="Q300" t="s">
        <v>187</v>
      </c>
      <c r="R300">
        <v>1.5403253E-3</v>
      </c>
      <c r="S300" s="1">
        <v>1.7414039999999999E-5</v>
      </c>
    </row>
    <row r="301" spans="1:19" x14ac:dyDescent="0.2">
      <c r="A301" t="s">
        <v>618</v>
      </c>
      <c r="B301">
        <v>3.5217000000000001</v>
      </c>
      <c r="C301" t="s">
        <v>619</v>
      </c>
      <c r="D301" s="1">
        <v>728858170</v>
      </c>
      <c r="E301">
        <v>5950.4378999999999</v>
      </c>
      <c r="F301">
        <v>0.18824099999999999</v>
      </c>
      <c r="G301">
        <v>1.7896380999999999E-3</v>
      </c>
      <c r="H301" s="1">
        <v>1.0030759999999999E-5</v>
      </c>
      <c r="I301" s="1">
        <v>3.1975254000000002E-8</v>
      </c>
      <c r="J301" s="1">
        <v>9.9041869000000003E-6</v>
      </c>
      <c r="K301" s="1">
        <v>3.8090021E-7</v>
      </c>
      <c r="L301">
        <v>2.2593907E-2</v>
      </c>
      <c r="M301" s="1">
        <v>8.8050202000000005E-5</v>
      </c>
      <c r="N301">
        <v>-1.4815263999999999</v>
      </c>
      <c r="O301">
        <v>3.8712177E-3</v>
      </c>
      <c r="P301" s="1">
        <v>1.9600180000000001E-8</v>
      </c>
      <c r="Q301" t="s">
        <v>187</v>
      </c>
      <c r="R301">
        <v>1.2073908000000001E-3</v>
      </c>
      <c r="S301" s="1">
        <v>1.7786704000000001E-5</v>
      </c>
    </row>
    <row r="302" spans="1:19" x14ac:dyDescent="0.2">
      <c r="A302" t="s">
        <v>620</v>
      </c>
      <c r="B302">
        <v>3.5217000000000001</v>
      </c>
      <c r="C302" t="s">
        <v>621</v>
      </c>
      <c r="D302" s="1">
        <v>728730690</v>
      </c>
      <c r="E302">
        <v>6265.3576000000003</v>
      </c>
      <c r="F302">
        <v>0.18782927999999999</v>
      </c>
      <c r="G302">
        <v>1.738542E-3</v>
      </c>
      <c r="H302" s="1">
        <v>9.9711643E-6</v>
      </c>
      <c r="I302" s="1">
        <v>3.1136640999999998E-8</v>
      </c>
      <c r="J302" s="1">
        <v>1.0047617999999999E-5</v>
      </c>
      <c r="K302" s="1">
        <v>3.7028448E-7</v>
      </c>
      <c r="L302">
        <v>2.2854235000000001E-2</v>
      </c>
      <c r="M302" s="1">
        <v>8.7252965000000004E-5</v>
      </c>
      <c r="N302">
        <v>-1.4705484</v>
      </c>
      <c r="O302">
        <v>3.7925553000000001E-3</v>
      </c>
      <c r="P302" s="1">
        <v>1.9315656999999999E-8</v>
      </c>
      <c r="Q302" t="s">
        <v>187</v>
      </c>
      <c r="R302">
        <v>1.0699266999999999E-3</v>
      </c>
      <c r="S302" s="1">
        <v>1.7494487000000001E-5</v>
      </c>
    </row>
    <row r="303" spans="1:19" x14ac:dyDescent="0.2">
      <c r="A303" t="s">
        <v>622</v>
      </c>
      <c r="B303">
        <v>3.5217000000000001</v>
      </c>
      <c r="C303" t="s">
        <v>623</v>
      </c>
      <c r="D303" s="1">
        <v>728957780</v>
      </c>
      <c r="E303">
        <v>5896.4422999999997</v>
      </c>
      <c r="F303">
        <v>0.18041913000000001</v>
      </c>
      <c r="G303">
        <v>1.7404874999999999E-3</v>
      </c>
      <c r="H303" s="1">
        <v>9.8757296999999999E-6</v>
      </c>
      <c r="I303" s="1">
        <v>3.1856977000000001E-8</v>
      </c>
      <c r="J303" s="1">
        <v>8.6023370000000002E-6</v>
      </c>
      <c r="K303" s="1">
        <v>4.0110344999999998E-7</v>
      </c>
      <c r="L303">
        <v>2.1912648E-2</v>
      </c>
      <c r="M303">
        <v>1.2615207E-4</v>
      </c>
      <c r="N303">
        <v>-1.473811</v>
      </c>
      <c r="O303">
        <v>3.8759996E-3</v>
      </c>
      <c r="P303" s="1">
        <v>2.0159981E-8</v>
      </c>
      <c r="Q303" s="1">
        <v>1.4433647000000001E-10</v>
      </c>
      <c r="R303">
        <v>1.1430419999999999E-3</v>
      </c>
      <c r="S303" s="1">
        <v>1.7854717E-5</v>
      </c>
    </row>
    <row r="304" spans="1:19" x14ac:dyDescent="0.2">
      <c r="A304" t="s">
        <v>624</v>
      </c>
      <c r="B304">
        <v>3.5217000000000001</v>
      </c>
      <c r="C304" t="s">
        <v>625</v>
      </c>
      <c r="D304" s="1">
        <v>729006620</v>
      </c>
      <c r="E304">
        <v>5676.7159000000001</v>
      </c>
      <c r="F304">
        <v>0.18773783999999999</v>
      </c>
      <c r="G304">
        <v>1.7519547E-3</v>
      </c>
      <c r="H304" s="1">
        <v>9.9891557000000007E-6</v>
      </c>
      <c r="I304" s="1">
        <v>3.1508998999999997E-8</v>
      </c>
      <c r="J304" s="1">
        <v>1.0385789E-5</v>
      </c>
      <c r="K304" s="1">
        <v>3.7003822999999998E-7</v>
      </c>
      <c r="L304">
        <v>2.2315274999999999E-2</v>
      </c>
      <c r="M304">
        <v>1.2602828E-4</v>
      </c>
      <c r="N304">
        <v>-1.4718872999999999</v>
      </c>
      <c r="O304">
        <v>3.8020686999999998E-3</v>
      </c>
      <c r="P304" s="1">
        <v>1.9953435E-8</v>
      </c>
      <c r="Q304" s="1">
        <v>1.3993382000000001E-10</v>
      </c>
      <c r="R304">
        <v>1.0575503999999999E-3</v>
      </c>
      <c r="S304" s="1">
        <v>1.7548590999999999E-5</v>
      </c>
    </row>
    <row r="305" spans="1:19" x14ac:dyDescent="0.2">
      <c r="A305" t="s">
        <v>626</v>
      </c>
      <c r="B305">
        <v>3.5217000000000001</v>
      </c>
      <c r="C305" t="s">
        <v>627</v>
      </c>
      <c r="D305" s="1">
        <v>728921380</v>
      </c>
      <c r="E305">
        <v>5929.2565999999997</v>
      </c>
      <c r="F305">
        <v>0.18199248000000001</v>
      </c>
      <c r="G305">
        <v>1.7373648E-3</v>
      </c>
      <c r="H305" s="1">
        <v>9.8622943000000005E-6</v>
      </c>
      <c r="I305" s="1">
        <v>3.1724579000000003E-8</v>
      </c>
      <c r="J305" s="1">
        <v>9.1669358000000005E-6</v>
      </c>
      <c r="K305" s="1">
        <v>3.9168211999999998E-7</v>
      </c>
      <c r="L305">
        <v>2.2554913999999999E-2</v>
      </c>
      <c r="M305" s="1">
        <v>8.7979629999999996E-5</v>
      </c>
      <c r="N305">
        <v>-1.4724710000000001</v>
      </c>
      <c r="O305">
        <v>3.8755016000000002E-3</v>
      </c>
      <c r="P305" s="1">
        <v>1.9462532E-8</v>
      </c>
      <c r="Q305" t="s">
        <v>187</v>
      </c>
      <c r="R305">
        <v>1.1502138E-3</v>
      </c>
      <c r="S305" s="1">
        <v>1.7888131000000001E-5</v>
      </c>
    </row>
    <row r="306" spans="1:19" x14ac:dyDescent="0.2">
      <c r="A306" t="s">
        <v>628</v>
      </c>
      <c r="B306">
        <v>3.5217000000000001</v>
      </c>
      <c r="C306" t="s">
        <v>629</v>
      </c>
      <c r="D306" s="1">
        <v>728894380</v>
      </c>
      <c r="E306">
        <v>6603.1677</v>
      </c>
      <c r="F306">
        <v>0.17916059000000001</v>
      </c>
      <c r="G306">
        <v>1.7129637999999999E-3</v>
      </c>
      <c r="H306" s="1">
        <v>9.9244620000000007E-6</v>
      </c>
      <c r="I306" s="1">
        <v>3.1803032000000001E-8</v>
      </c>
      <c r="J306" s="1">
        <v>9.1267392000000001E-6</v>
      </c>
      <c r="K306" s="1">
        <v>3.9184076E-7</v>
      </c>
      <c r="L306">
        <v>2.2675878E-2</v>
      </c>
      <c r="M306" s="1">
        <v>8.8299267000000007E-5</v>
      </c>
      <c r="N306">
        <v>-1.4691088999999999</v>
      </c>
      <c r="O306">
        <v>3.8681274E-3</v>
      </c>
      <c r="P306" s="1">
        <v>1.8834124000000002E-8</v>
      </c>
      <c r="Q306" t="s">
        <v>187</v>
      </c>
      <c r="R306">
        <v>1.2501375999999999E-3</v>
      </c>
      <c r="S306" s="1">
        <v>1.7406026E-5</v>
      </c>
    </row>
    <row r="307" spans="1:19" x14ac:dyDescent="0.2">
      <c r="A307" t="s">
        <v>630</v>
      </c>
      <c r="B307">
        <v>3.5217000000000001</v>
      </c>
      <c r="C307" t="s">
        <v>631</v>
      </c>
      <c r="D307" s="1">
        <v>729102830</v>
      </c>
      <c r="E307">
        <v>5932.4946</v>
      </c>
      <c r="F307">
        <v>0.18758266000000001</v>
      </c>
      <c r="G307">
        <v>1.7189235E-3</v>
      </c>
      <c r="H307" s="1">
        <v>9.9773302000000005E-6</v>
      </c>
      <c r="I307" s="1">
        <v>3.1086900999999997E-8</v>
      </c>
      <c r="J307" s="1">
        <v>1.079107E-5</v>
      </c>
      <c r="K307" s="1">
        <v>3.5975856999999999E-7</v>
      </c>
      <c r="L307">
        <v>2.2565524E-2</v>
      </c>
      <c r="M307" s="1">
        <v>8.6208434999999995E-5</v>
      </c>
      <c r="N307">
        <v>-1.4808475999999999</v>
      </c>
      <c r="O307">
        <v>3.7953291000000001E-3</v>
      </c>
      <c r="P307" s="1">
        <v>1.9311108000000001E-8</v>
      </c>
      <c r="Q307" t="s">
        <v>187</v>
      </c>
      <c r="R307">
        <v>1.0993944E-3</v>
      </c>
      <c r="S307" s="1">
        <v>1.7274804E-5</v>
      </c>
    </row>
    <row r="308" spans="1:19" x14ac:dyDescent="0.2">
      <c r="A308" t="s">
        <v>632</v>
      </c>
      <c r="B308">
        <v>3.5217000000000001</v>
      </c>
      <c r="C308" t="s">
        <v>633</v>
      </c>
      <c r="D308" s="1">
        <v>728691520</v>
      </c>
      <c r="E308">
        <v>5992.7754000000004</v>
      </c>
      <c r="F308">
        <v>0.18175632999999999</v>
      </c>
      <c r="G308">
        <v>1.6985107000000001E-3</v>
      </c>
      <c r="H308" s="1">
        <v>9.8816678999999998E-6</v>
      </c>
      <c r="I308" s="1">
        <v>3.0908919999999997E-8</v>
      </c>
      <c r="J308" s="1">
        <v>8.6951472999999992E-6</v>
      </c>
      <c r="K308" s="1">
        <v>3.8754025E-7</v>
      </c>
      <c r="L308">
        <v>2.2766515000000001E-2</v>
      </c>
      <c r="M308" s="1">
        <v>8.6866428999999998E-5</v>
      </c>
      <c r="N308">
        <v>-1.4352357</v>
      </c>
      <c r="O308">
        <v>3.7925704E-3</v>
      </c>
      <c r="P308" s="1">
        <v>1.9153377000000001E-8</v>
      </c>
      <c r="Q308" t="s">
        <v>187</v>
      </c>
      <c r="R308">
        <v>1.1828415E-3</v>
      </c>
      <c r="S308" s="1">
        <v>1.7416061000000001E-5</v>
      </c>
    </row>
    <row r="309" spans="1:19" x14ac:dyDescent="0.2">
      <c r="A309" t="s">
        <v>634</v>
      </c>
      <c r="B309">
        <v>3.5217000000000001</v>
      </c>
      <c r="C309" t="s">
        <v>635</v>
      </c>
      <c r="D309" s="1">
        <v>729040910</v>
      </c>
      <c r="E309">
        <v>5672.6468000000004</v>
      </c>
      <c r="F309">
        <v>0.17754323999999999</v>
      </c>
      <c r="G309">
        <v>1.6906346000000001E-3</v>
      </c>
      <c r="H309" s="1">
        <v>9.8909952000000002E-6</v>
      </c>
      <c r="I309" s="1">
        <v>3.1775371000000001E-8</v>
      </c>
      <c r="J309" s="1">
        <v>9.4835088999999996E-6</v>
      </c>
      <c r="K309" s="1">
        <v>3.8732854000000001E-7</v>
      </c>
      <c r="L309">
        <v>2.2370786E-2</v>
      </c>
      <c r="M309" s="1">
        <v>8.5675844999999994E-5</v>
      </c>
      <c r="N309">
        <v>-1.4534454999999999</v>
      </c>
      <c r="O309">
        <v>3.8065954E-3</v>
      </c>
      <c r="P309" s="1">
        <v>1.9342982000000001E-8</v>
      </c>
      <c r="Q309" t="s">
        <v>187</v>
      </c>
      <c r="R309">
        <v>1.1094715000000001E-3</v>
      </c>
      <c r="S309" s="1">
        <v>1.7301512E-5</v>
      </c>
    </row>
    <row r="310" spans="1:19" x14ac:dyDescent="0.2">
      <c r="A310" t="s">
        <v>636</v>
      </c>
      <c r="B310">
        <v>3.5217000000000001</v>
      </c>
      <c r="C310" t="s">
        <v>637</v>
      </c>
      <c r="D310" s="1">
        <v>728870450</v>
      </c>
      <c r="E310">
        <v>6040.1495999999997</v>
      </c>
      <c r="F310">
        <v>0.1844836</v>
      </c>
      <c r="G310">
        <v>1.7869749999999999E-3</v>
      </c>
      <c r="H310" s="1">
        <v>9.9543376999999997E-6</v>
      </c>
      <c r="I310" s="1">
        <v>3.2350551000000002E-8</v>
      </c>
      <c r="J310" s="1">
        <v>9.4324560999999995E-6</v>
      </c>
      <c r="K310" s="1">
        <v>3.9363661999999999E-7</v>
      </c>
      <c r="L310">
        <v>2.3120963000000001E-2</v>
      </c>
      <c r="M310" s="1">
        <v>9.0925121000000005E-5</v>
      </c>
      <c r="N310">
        <v>-1.4569087000000001</v>
      </c>
      <c r="O310">
        <v>3.9075927000000003E-3</v>
      </c>
      <c r="P310" s="1">
        <v>1.9039182000000001E-8</v>
      </c>
      <c r="Q310" t="s">
        <v>187</v>
      </c>
      <c r="R310">
        <v>1.4422808000000001E-3</v>
      </c>
      <c r="S310" s="1">
        <v>1.8044885E-5</v>
      </c>
    </row>
    <row r="311" spans="1:19" x14ac:dyDescent="0.2">
      <c r="A311" t="s">
        <v>638</v>
      </c>
      <c r="B311">
        <v>3.5217000000000001</v>
      </c>
      <c r="C311" t="s">
        <v>639</v>
      </c>
      <c r="D311" s="1">
        <v>728964440</v>
      </c>
      <c r="E311">
        <v>6210.9002</v>
      </c>
      <c r="F311">
        <v>0.18390224999999999</v>
      </c>
      <c r="G311">
        <v>1.8178011E-3</v>
      </c>
      <c r="H311" s="1">
        <v>9.9513060000000005E-6</v>
      </c>
      <c r="I311" s="1">
        <v>3.2947103999999997E-8</v>
      </c>
      <c r="J311" s="1">
        <v>9.2575207999999999E-6</v>
      </c>
      <c r="K311" s="1">
        <v>4.0344741999999999E-7</v>
      </c>
      <c r="L311">
        <v>2.2911193999999999E-2</v>
      </c>
      <c r="M311" s="1">
        <v>9.2015262000000003E-5</v>
      </c>
      <c r="N311">
        <v>-1.4702293</v>
      </c>
      <c r="O311">
        <v>3.9900899000000004E-3</v>
      </c>
      <c r="P311" s="1">
        <v>1.9174347000000002E-8</v>
      </c>
      <c r="Q311" t="s">
        <v>187</v>
      </c>
      <c r="R311">
        <v>1.256601E-3</v>
      </c>
      <c r="S311" s="1">
        <v>1.8368073000000001E-5</v>
      </c>
    </row>
    <row r="312" spans="1:19" x14ac:dyDescent="0.2">
      <c r="A312" t="s">
        <v>640</v>
      </c>
      <c r="B312">
        <v>3.5217000000000001</v>
      </c>
      <c r="C312" t="s">
        <v>641</v>
      </c>
      <c r="D312" s="1">
        <v>729171610</v>
      </c>
      <c r="E312">
        <v>6296.5454</v>
      </c>
      <c r="F312">
        <v>0.17980589999999999</v>
      </c>
      <c r="G312">
        <v>1.8332945E-3</v>
      </c>
      <c r="H312" s="1">
        <v>9.9058497999999995E-6</v>
      </c>
      <c r="I312" s="1">
        <v>3.4121271999999999E-8</v>
      </c>
      <c r="J312" s="1">
        <v>9.7153760999999995E-6</v>
      </c>
      <c r="K312" s="1">
        <v>4.1217349000000002E-7</v>
      </c>
      <c r="L312">
        <v>2.2252761999999999E-2</v>
      </c>
      <c r="M312" s="1">
        <v>9.3395205000000004E-5</v>
      </c>
      <c r="N312">
        <v>-1.4626021</v>
      </c>
      <c r="O312">
        <v>4.1709866999999996E-3</v>
      </c>
      <c r="P312" s="1">
        <v>1.9168461999999998E-8</v>
      </c>
      <c r="Q312" t="s">
        <v>187</v>
      </c>
      <c r="R312">
        <v>1.1608325000000001E-3</v>
      </c>
      <c r="S312" s="1">
        <v>1.8702486000000001E-5</v>
      </c>
    </row>
    <row r="313" spans="1:19" x14ac:dyDescent="0.2">
      <c r="A313" t="s">
        <v>642</v>
      </c>
      <c r="B313">
        <v>3.5217000000000001</v>
      </c>
      <c r="C313" t="s">
        <v>643</v>
      </c>
      <c r="D313" s="1">
        <v>729107990</v>
      </c>
      <c r="E313">
        <v>5666.6736000000001</v>
      </c>
      <c r="F313">
        <v>0.18035712000000001</v>
      </c>
      <c r="G313">
        <v>1.674369E-3</v>
      </c>
      <c r="H313" s="1">
        <v>9.8834436999999998E-6</v>
      </c>
      <c r="I313" s="1">
        <v>3.0951829E-8</v>
      </c>
      <c r="J313" s="1">
        <v>9.4192918999999996E-6</v>
      </c>
      <c r="K313" s="1">
        <v>3.7830463999999999E-7</v>
      </c>
      <c r="L313">
        <v>2.2414197E-2</v>
      </c>
      <c r="M313" s="1">
        <v>8.4272724999999999E-5</v>
      </c>
      <c r="N313">
        <v>-1.4725577000000001</v>
      </c>
      <c r="O313">
        <v>3.7360730999999999E-3</v>
      </c>
      <c r="P313" s="1">
        <v>1.9538544000000001E-8</v>
      </c>
      <c r="Q313" t="s">
        <v>187</v>
      </c>
      <c r="R313">
        <v>9.9064827000000001E-4</v>
      </c>
      <c r="S313" s="1">
        <v>1.7162702E-5</v>
      </c>
    </row>
    <row r="314" spans="1:19" x14ac:dyDescent="0.2">
      <c r="A314" t="s">
        <v>644</v>
      </c>
      <c r="B314">
        <v>3.5217000000000001</v>
      </c>
      <c r="C314" t="s">
        <v>645</v>
      </c>
      <c r="D314" s="1">
        <v>729102680</v>
      </c>
      <c r="E314">
        <v>5639.3752999999997</v>
      </c>
      <c r="F314">
        <v>0.18035275000000001</v>
      </c>
      <c r="G314">
        <v>1.7139931000000001E-3</v>
      </c>
      <c r="H314" s="1">
        <v>9.8765773999999998E-6</v>
      </c>
      <c r="I314" s="1">
        <v>3.1661487000000001E-8</v>
      </c>
      <c r="J314" s="1">
        <v>9.3643265000000003E-6</v>
      </c>
      <c r="K314" s="1">
        <v>3.8787346E-7</v>
      </c>
      <c r="L314">
        <v>2.2130606000000001E-2</v>
      </c>
      <c r="M314" s="1">
        <v>8.5316114E-5</v>
      </c>
      <c r="N314">
        <v>-1.4670802000000001</v>
      </c>
      <c r="O314">
        <v>3.83154E-3</v>
      </c>
      <c r="P314" s="1">
        <v>1.9834901E-8</v>
      </c>
      <c r="Q314" t="s">
        <v>187</v>
      </c>
      <c r="R314">
        <v>1.4058671999999999E-3</v>
      </c>
      <c r="S314" s="1">
        <v>1.7594821E-5</v>
      </c>
    </row>
    <row r="315" spans="1:19" x14ac:dyDescent="0.2">
      <c r="A315" t="s">
        <v>646</v>
      </c>
      <c r="B315">
        <v>3.5217000000000001</v>
      </c>
      <c r="C315" t="s">
        <v>647</v>
      </c>
      <c r="D315" s="1">
        <v>729248010</v>
      </c>
      <c r="E315">
        <v>5599.7601999999997</v>
      </c>
      <c r="F315">
        <v>0.18043244999999999</v>
      </c>
      <c r="G315">
        <v>1.7271701999999999E-3</v>
      </c>
      <c r="H315" s="1">
        <v>9.9430680000000005E-6</v>
      </c>
      <c r="I315" s="1">
        <v>3.2039695999999997E-8</v>
      </c>
      <c r="J315" s="1">
        <v>9.6508213999999997E-6</v>
      </c>
      <c r="K315" s="1">
        <v>3.8707812000000001E-7</v>
      </c>
      <c r="L315">
        <v>2.2003506999999999E-2</v>
      </c>
      <c r="M315" s="1">
        <v>8.5950661000000004E-5</v>
      </c>
      <c r="N315">
        <v>-1.4951399999999999</v>
      </c>
      <c r="O315">
        <v>3.8804254E-3</v>
      </c>
      <c r="P315" s="1">
        <v>1.9617712000000002E-8</v>
      </c>
      <c r="Q315" t="s">
        <v>187</v>
      </c>
      <c r="R315">
        <v>1.2726492999999999E-3</v>
      </c>
      <c r="S315" s="1">
        <v>1.7483187999999999E-5</v>
      </c>
    </row>
    <row r="316" spans="1:19" x14ac:dyDescent="0.2">
      <c r="A316" t="s">
        <v>648</v>
      </c>
      <c r="B316">
        <v>3.5217000000000001</v>
      </c>
      <c r="C316" t="s">
        <v>649</v>
      </c>
      <c r="D316" s="1">
        <v>729214330</v>
      </c>
      <c r="E316">
        <v>5806.2893000000004</v>
      </c>
      <c r="F316">
        <v>0.17870669</v>
      </c>
      <c r="G316">
        <v>1.6979222E-3</v>
      </c>
      <c r="H316" s="1">
        <v>9.8761923E-6</v>
      </c>
      <c r="I316" s="1">
        <v>3.1409088000000002E-8</v>
      </c>
      <c r="J316" s="1">
        <v>8.6570368999999999E-6</v>
      </c>
      <c r="K316" s="1">
        <v>3.9444653999999998E-7</v>
      </c>
      <c r="L316">
        <v>2.2246947E-2</v>
      </c>
      <c r="M316" s="1">
        <v>8.5975523999999996E-5</v>
      </c>
      <c r="N316">
        <v>-1.4926467999999999</v>
      </c>
      <c r="O316">
        <v>3.8389281000000002E-3</v>
      </c>
      <c r="P316" s="1">
        <v>1.9419627000000001E-8</v>
      </c>
      <c r="Q316" t="s">
        <v>187</v>
      </c>
      <c r="R316">
        <v>1.4523043000000001E-3</v>
      </c>
      <c r="S316" s="1">
        <v>1.7430648E-5</v>
      </c>
    </row>
    <row r="317" spans="1:19" x14ac:dyDescent="0.2">
      <c r="A317" t="s">
        <v>650</v>
      </c>
      <c r="B317">
        <v>3.5217000000000001</v>
      </c>
      <c r="C317" t="s">
        <v>651</v>
      </c>
      <c r="D317" s="1">
        <v>729062190</v>
      </c>
      <c r="E317">
        <v>6366.6913000000004</v>
      </c>
      <c r="F317">
        <v>0.18081712</v>
      </c>
      <c r="G317">
        <v>1.7584312E-3</v>
      </c>
      <c r="H317" s="1">
        <v>9.9450785000000002E-6</v>
      </c>
      <c r="I317" s="1">
        <v>3.2308686999999998E-8</v>
      </c>
      <c r="J317" s="1">
        <v>8.9738803000000007E-6</v>
      </c>
      <c r="K317" s="1">
        <v>3.9975267000000001E-7</v>
      </c>
      <c r="L317">
        <v>2.3188831E-2</v>
      </c>
      <c r="M317" s="1">
        <v>9.1025058999999998E-5</v>
      </c>
      <c r="N317">
        <v>-1.4689588</v>
      </c>
      <c r="O317">
        <v>3.8995653999999999E-3</v>
      </c>
      <c r="P317" s="1">
        <v>1.8669509E-8</v>
      </c>
      <c r="Q317" t="s">
        <v>187</v>
      </c>
      <c r="R317">
        <v>1.3087747E-3</v>
      </c>
      <c r="S317" s="1">
        <v>1.7790558000000001E-5</v>
      </c>
    </row>
    <row r="318" spans="1:19" x14ac:dyDescent="0.2">
      <c r="A318" t="s">
        <v>652</v>
      </c>
      <c r="B318">
        <v>3.5217000000000001</v>
      </c>
      <c r="C318" t="s">
        <v>653</v>
      </c>
      <c r="D318" s="1">
        <v>729025030</v>
      </c>
      <c r="E318">
        <v>6654.0874999999996</v>
      </c>
      <c r="F318">
        <v>0.18786474</v>
      </c>
      <c r="G318">
        <v>1.7767321000000001E-3</v>
      </c>
      <c r="H318" s="1">
        <v>1.0059047999999999E-5</v>
      </c>
      <c r="I318" s="1">
        <v>3.1916209000000003E-8</v>
      </c>
      <c r="J318" s="1">
        <v>1.0154682E-5</v>
      </c>
      <c r="K318" s="1">
        <v>3.7620473E-7</v>
      </c>
      <c r="L318">
        <v>2.3339331000000001E-2</v>
      </c>
      <c r="M318" s="1">
        <v>9.1524084000000003E-5</v>
      </c>
      <c r="N318">
        <v>-1.4741272999999999</v>
      </c>
      <c r="O318">
        <v>3.8947562000000002E-3</v>
      </c>
      <c r="P318" s="1">
        <v>1.8423957E-8</v>
      </c>
      <c r="Q318" t="s">
        <v>187</v>
      </c>
      <c r="R318">
        <v>1.5077253E-3</v>
      </c>
      <c r="S318" s="1">
        <v>1.7553161999999999E-5</v>
      </c>
    </row>
    <row r="319" spans="1:19" x14ac:dyDescent="0.2">
      <c r="A319" t="s">
        <v>654</v>
      </c>
      <c r="B319">
        <v>3.5217000000000001</v>
      </c>
      <c r="C319" t="s">
        <v>655</v>
      </c>
      <c r="D319" s="1">
        <v>728941360</v>
      </c>
      <c r="E319">
        <v>6280.0907999999999</v>
      </c>
      <c r="F319">
        <v>0.17851686</v>
      </c>
      <c r="G319">
        <v>1.7406945E-3</v>
      </c>
      <c r="H319" s="1">
        <v>9.8587244999999997E-6</v>
      </c>
      <c r="I319" s="1">
        <v>3.1908116999999998E-8</v>
      </c>
      <c r="J319" s="1">
        <v>7.7546922000000001E-6</v>
      </c>
      <c r="K319" s="1">
        <v>4.1378282999999999E-7</v>
      </c>
      <c r="L319">
        <v>2.3222817E-2</v>
      </c>
      <c r="M319" s="1">
        <v>9.0627171000000006E-5</v>
      </c>
      <c r="N319">
        <v>-1.4686475000000001</v>
      </c>
      <c r="O319">
        <v>3.8767705E-3</v>
      </c>
      <c r="P319" s="1">
        <v>1.8814013E-8</v>
      </c>
      <c r="Q319" t="s">
        <v>187</v>
      </c>
      <c r="R319">
        <v>1.1962677E-3</v>
      </c>
      <c r="S319" s="1">
        <v>1.7934911E-5</v>
      </c>
    </row>
    <row r="320" spans="1:19" x14ac:dyDescent="0.2">
      <c r="A320" t="s">
        <v>656</v>
      </c>
      <c r="B320">
        <v>3.5217000000000001</v>
      </c>
      <c r="C320" t="s">
        <v>657</v>
      </c>
      <c r="D320" s="1">
        <v>729285100</v>
      </c>
      <c r="E320">
        <v>6050.1324000000004</v>
      </c>
      <c r="F320">
        <v>0.18156712</v>
      </c>
      <c r="G320">
        <v>1.7205692E-3</v>
      </c>
      <c r="H320" s="1">
        <v>9.8795769999999998E-6</v>
      </c>
      <c r="I320" s="1">
        <v>3.1664256999999997E-8</v>
      </c>
      <c r="J320" s="1">
        <v>9.6300174000000006E-6</v>
      </c>
      <c r="K320" s="1">
        <v>3.8422474000000002E-7</v>
      </c>
      <c r="L320">
        <v>2.2344078999999999E-2</v>
      </c>
      <c r="M320" s="1">
        <v>8.6856406999999996E-5</v>
      </c>
      <c r="N320">
        <v>-1.4778167</v>
      </c>
      <c r="O320">
        <v>3.8627176000000001E-3</v>
      </c>
      <c r="P320" s="1">
        <v>1.9478624000000001E-8</v>
      </c>
      <c r="Q320" t="s">
        <v>187</v>
      </c>
      <c r="R320">
        <v>1.3808698999999999E-3</v>
      </c>
      <c r="S320" s="1">
        <v>1.7650603000000002E-5</v>
      </c>
    </row>
    <row r="321" spans="1:19" x14ac:dyDescent="0.2">
      <c r="A321" t="s">
        <v>658</v>
      </c>
      <c r="B321">
        <v>3.5217000000000001</v>
      </c>
      <c r="C321" t="s">
        <v>659</v>
      </c>
      <c r="D321" s="1">
        <v>729246560</v>
      </c>
      <c r="E321">
        <v>6220.8932000000004</v>
      </c>
      <c r="F321">
        <v>0.18455837999999999</v>
      </c>
      <c r="G321">
        <v>1.7422602000000001E-3</v>
      </c>
      <c r="H321" s="1">
        <v>9.9472250000000003E-6</v>
      </c>
      <c r="I321" s="1">
        <v>3.1653418E-8</v>
      </c>
      <c r="J321" s="1">
        <v>9.8066710999999994E-6</v>
      </c>
      <c r="K321" s="1">
        <v>3.8022406000000001E-7</v>
      </c>
      <c r="L321">
        <v>2.3065557E-2</v>
      </c>
      <c r="M321" s="1">
        <v>8.9311115E-5</v>
      </c>
      <c r="N321">
        <v>-1.4801196999999999</v>
      </c>
      <c r="O321">
        <v>3.8465688000000001E-3</v>
      </c>
      <c r="P321" s="1">
        <v>1.8889901000000001E-8</v>
      </c>
      <c r="Q321" t="s">
        <v>187</v>
      </c>
      <c r="R321">
        <v>9.7525023000000005E-4</v>
      </c>
      <c r="S321" s="1">
        <v>1.7619399999999999E-5</v>
      </c>
    </row>
    <row r="322" spans="1:19" x14ac:dyDescent="0.2">
      <c r="A322" t="s">
        <v>660</v>
      </c>
      <c r="B322">
        <v>3.5217000000000001</v>
      </c>
      <c r="C322" t="s">
        <v>661</v>
      </c>
      <c r="D322" s="1">
        <v>728977410</v>
      </c>
      <c r="E322">
        <v>6407.8473000000004</v>
      </c>
      <c r="F322">
        <v>0.17648490999999999</v>
      </c>
      <c r="G322">
        <v>1.7474089999999999E-3</v>
      </c>
      <c r="H322" s="1">
        <v>9.8526494999999999E-6</v>
      </c>
      <c r="I322" s="1">
        <v>3.1847542999999998E-8</v>
      </c>
      <c r="J322" s="1">
        <v>7.0789657E-6</v>
      </c>
      <c r="K322" s="1">
        <v>4.2853393999999999E-7</v>
      </c>
      <c r="L322">
        <v>2.3194172999999998E-2</v>
      </c>
      <c r="M322" s="1">
        <v>8.9934870999999999E-5</v>
      </c>
      <c r="N322">
        <v>-1.9116957000000001</v>
      </c>
      <c r="O322">
        <v>3.8531643000000002E-3</v>
      </c>
      <c r="P322" s="1">
        <v>1.8779993000000001E-8</v>
      </c>
      <c r="Q322" t="s">
        <v>187</v>
      </c>
      <c r="R322">
        <v>1.2781979999999999E-3</v>
      </c>
      <c r="S322" s="1">
        <v>1.7704876000000002E-5</v>
      </c>
    </row>
    <row r="323" spans="1:19" x14ac:dyDescent="0.2">
      <c r="A323" t="s">
        <v>662</v>
      </c>
      <c r="B323">
        <v>3.5217000000000001</v>
      </c>
      <c r="C323" t="s">
        <v>663</v>
      </c>
      <c r="D323" s="1">
        <v>729451840</v>
      </c>
      <c r="E323">
        <v>6208.1198000000004</v>
      </c>
      <c r="F323">
        <v>0.18296974999999999</v>
      </c>
      <c r="G323">
        <v>1.8057919E-3</v>
      </c>
      <c r="H323" s="1">
        <v>9.9812394E-6</v>
      </c>
      <c r="I323" s="1">
        <v>3.3015693999999998E-8</v>
      </c>
      <c r="J323" s="1">
        <v>9.5235184000000002E-6</v>
      </c>
      <c r="K323" s="1">
        <v>3.9981084000000001E-7</v>
      </c>
      <c r="L323">
        <v>2.2291907E-2</v>
      </c>
      <c r="M323" s="1">
        <v>9.0269471999999997E-5</v>
      </c>
      <c r="N323">
        <v>-1.4990585999999999</v>
      </c>
      <c r="O323">
        <v>4.0225942000000001E-3</v>
      </c>
      <c r="P323" s="1">
        <v>1.9378138000000001E-8</v>
      </c>
      <c r="Q323" t="s">
        <v>187</v>
      </c>
      <c r="R323">
        <v>1.1368344999999999E-3</v>
      </c>
      <c r="S323" s="1">
        <v>1.8133129E-5</v>
      </c>
    </row>
    <row r="324" spans="1:19" x14ac:dyDescent="0.2">
      <c r="A324" t="s">
        <v>664</v>
      </c>
      <c r="B324">
        <v>3.5217000000000001</v>
      </c>
      <c r="C324" t="s">
        <v>665</v>
      </c>
      <c r="D324" s="1">
        <v>729522760</v>
      </c>
      <c r="E324">
        <v>6049.2082</v>
      </c>
      <c r="F324">
        <v>0.18492707999999999</v>
      </c>
      <c r="G324">
        <v>1.8152257E-3</v>
      </c>
      <c r="H324" s="1">
        <v>9.9972802000000002E-6</v>
      </c>
      <c r="I324" s="1">
        <v>3.310071E-8</v>
      </c>
      <c r="J324" s="1">
        <v>1.0209345E-5</v>
      </c>
      <c r="K324" s="1">
        <v>3.9075175000000002E-7</v>
      </c>
      <c r="L324">
        <v>2.2124549E-2</v>
      </c>
      <c r="M324" s="1">
        <v>8.8735878999999994E-5</v>
      </c>
      <c r="N324">
        <v>-1.4968623000000001</v>
      </c>
      <c r="O324">
        <v>3.9851699999999997E-3</v>
      </c>
      <c r="P324" s="1">
        <v>1.9872424E-8</v>
      </c>
      <c r="Q324" t="s">
        <v>187</v>
      </c>
      <c r="R324">
        <v>1.4170427999999999E-3</v>
      </c>
      <c r="S324" s="1">
        <v>1.8167703E-5</v>
      </c>
    </row>
    <row r="325" spans="1:19" x14ac:dyDescent="0.2">
      <c r="A325" t="s">
        <v>666</v>
      </c>
      <c r="B325">
        <v>3.5217000000000001</v>
      </c>
      <c r="C325" t="s">
        <v>667</v>
      </c>
      <c r="D325" s="1">
        <v>729147560</v>
      </c>
      <c r="E325">
        <v>5967.9548999999997</v>
      </c>
      <c r="F325">
        <v>0.18455288</v>
      </c>
      <c r="G325">
        <v>1.7100433E-3</v>
      </c>
      <c r="H325" s="1">
        <v>9.8995407999999996E-6</v>
      </c>
      <c r="I325" s="1">
        <v>3.0802314000000001E-8</v>
      </c>
      <c r="J325" s="1">
        <v>9.1206450000000002E-6</v>
      </c>
      <c r="K325" s="1">
        <v>3.8011857999999998E-7</v>
      </c>
      <c r="L325">
        <v>2.2960682999999999E-2</v>
      </c>
      <c r="M325" s="1">
        <v>8.7223482999999996E-5</v>
      </c>
      <c r="N325">
        <v>-1.4591673999999999</v>
      </c>
      <c r="O325">
        <v>3.7754352999999998E-3</v>
      </c>
      <c r="P325" s="1">
        <v>1.9159428E-8</v>
      </c>
      <c r="Q325" t="s">
        <v>187</v>
      </c>
      <c r="R325">
        <v>1.0615335000000001E-3</v>
      </c>
      <c r="S325" s="1">
        <v>1.7468329999999999E-5</v>
      </c>
    </row>
    <row r="326" spans="1:19" x14ac:dyDescent="0.2">
      <c r="A326" t="s">
        <v>668</v>
      </c>
      <c r="B326">
        <v>3.5217000000000001</v>
      </c>
      <c r="C326" t="s">
        <v>669</v>
      </c>
      <c r="D326" s="1">
        <v>729384660</v>
      </c>
      <c r="E326">
        <v>6725.7929000000004</v>
      </c>
      <c r="F326">
        <v>0.18326026000000001</v>
      </c>
      <c r="G326">
        <v>1.8107939000000001E-3</v>
      </c>
      <c r="H326" s="1">
        <v>9.9056081000000007E-6</v>
      </c>
      <c r="I326" s="1">
        <v>3.2869932999999998E-8</v>
      </c>
      <c r="J326" s="1">
        <v>9.1726911999999997E-6</v>
      </c>
      <c r="K326" s="1">
        <v>4.0476198000000002E-7</v>
      </c>
      <c r="L326">
        <v>2.2871069000000001E-2</v>
      </c>
      <c r="M326" s="1">
        <v>9.3426504000000002E-5</v>
      </c>
      <c r="N326">
        <v>-1.4944013</v>
      </c>
      <c r="O326">
        <v>4.0573257999999999E-3</v>
      </c>
      <c r="P326" s="1">
        <v>1.8875520999999999E-8</v>
      </c>
      <c r="Q326" t="s">
        <v>187</v>
      </c>
      <c r="R326">
        <v>1.1440307999999999E-3</v>
      </c>
      <c r="S326" s="1">
        <v>1.8473403999999999E-5</v>
      </c>
    </row>
    <row r="327" spans="1:19" x14ac:dyDescent="0.2">
      <c r="A327" t="s">
        <v>670</v>
      </c>
      <c r="B327">
        <v>3.5217000000000001</v>
      </c>
      <c r="C327" t="s">
        <v>671</v>
      </c>
      <c r="D327" s="1">
        <v>729298750</v>
      </c>
      <c r="E327">
        <v>5720.4134000000004</v>
      </c>
      <c r="F327">
        <v>0.18052958</v>
      </c>
      <c r="G327">
        <v>1.5959682E-3</v>
      </c>
      <c r="H327" s="1">
        <v>9.8835861999999996E-6</v>
      </c>
      <c r="I327" s="1">
        <v>2.8694285E-8</v>
      </c>
      <c r="J327" s="1">
        <v>6.9446518000000003E-6</v>
      </c>
      <c r="K327" s="1">
        <v>3.8194603999999998E-7</v>
      </c>
      <c r="L327">
        <v>2.3405710999999999E-2</v>
      </c>
      <c r="M327" s="1">
        <v>8.2550343999999995E-5</v>
      </c>
      <c r="N327">
        <v>-1.442995</v>
      </c>
      <c r="O327">
        <v>3.5064097000000001E-3</v>
      </c>
      <c r="P327" s="1">
        <v>1.8877146000000001E-8</v>
      </c>
      <c r="Q327" t="s">
        <v>187</v>
      </c>
      <c r="R327">
        <v>1.1223423E-3</v>
      </c>
      <c r="S327" s="1">
        <v>1.6357617000000001E-5</v>
      </c>
    </row>
    <row r="328" spans="1:19" x14ac:dyDescent="0.2">
      <c r="A328" t="s">
        <v>672</v>
      </c>
      <c r="B328">
        <v>3.5217000000000001</v>
      </c>
      <c r="C328" t="s">
        <v>673</v>
      </c>
      <c r="D328" s="1">
        <v>729693630</v>
      </c>
      <c r="E328">
        <v>5965.8738000000003</v>
      </c>
      <c r="F328">
        <v>0.18430759999999999</v>
      </c>
      <c r="G328">
        <v>1.6593947E-3</v>
      </c>
      <c r="H328" s="1">
        <v>9.8972046999999996E-6</v>
      </c>
      <c r="I328" s="1">
        <v>3.0304833000000002E-8</v>
      </c>
      <c r="J328" s="1">
        <v>1.0256301999999999E-5</v>
      </c>
      <c r="K328" s="1">
        <v>3.5924662000000001E-7</v>
      </c>
      <c r="L328">
        <v>2.2276593000000001E-2</v>
      </c>
      <c r="M328" s="1">
        <v>8.4970656000000002E-5</v>
      </c>
      <c r="N328">
        <v>-1.494642</v>
      </c>
      <c r="O328">
        <v>3.7896573999999998E-3</v>
      </c>
      <c r="P328" s="1">
        <v>1.9078011000000001E-8</v>
      </c>
      <c r="Q328" t="s">
        <v>187</v>
      </c>
      <c r="R328">
        <v>9.6051074E-4</v>
      </c>
      <c r="S328" s="1">
        <v>1.695922E-5</v>
      </c>
    </row>
    <row r="329" spans="1:19" x14ac:dyDescent="0.2">
      <c r="A329" t="s">
        <v>674</v>
      </c>
      <c r="B329">
        <v>3.5217000000000001</v>
      </c>
      <c r="C329" t="s">
        <v>675</v>
      </c>
      <c r="D329" s="1">
        <v>728605670</v>
      </c>
      <c r="E329">
        <v>6626.8425999999999</v>
      </c>
      <c r="F329">
        <v>0.17600083999999999</v>
      </c>
      <c r="G329">
        <v>1.5433188E-3</v>
      </c>
      <c r="H329" s="1">
        <v>9.9779073000000004E-6</v>
      </c>
      <c r="I329" s="1">
        <v>2.9315496000000001E-8</v>
      </c>
      <c r="J329" s="1">
        <v>9.4826496999999999E-6</v>
      </c>
      <c r="K329" s="1">
        <v>3.5563957E-7</v>
      </c>
      <c r="L329">
        <v>2.1762800999999998E-2</v>
      </c>
      <c r="M329" s="1">
        <v>8.3963870999999998E-5</v>
      </c>
      <c r="N329">
        <v>-1.3914899999999999</v>
      </c>
      <c r="O329">
        <v>3.8359781999999999E-3</v>
      </c>
      <c r="P329" s="1">
        <v>1.7464461000000001E-8</v>
      </c>
      <c r="Q329" t="s">
        <v>187</v>
      </c>
      <c r="R329">
        <v>8.6778824999999996E-4</v>
      </c>
      <c r="S329" s="1">
        <v>1.5505253E-5</v>
      </c>
    </row>
    <row r="330" spans="1:19" x14ac:dyDescent="0.2">
      <c r="A330" t="s">
        <v>676</v>
      </c>
      <c r="B330">
        <v>3.5217000000000001</v>
      </c>
      <c r="C330" t="s">
        <v>677</v>
      </c>
      <c r="D330" s="1">
        <v>727725390</v>
      </c>
      <c r="E330">
        <v>7642.4695000000002</v>
      </c>
      <c r="F330">
        <v>0.1427244</v>
      </c>
      <c r="G330">
        <v>2.5691857000000001E-3</v>
      </c>
      <c r="H330" s="1">
        <v>9.7414551E-6</v>
      </c>
      <c r="I330" s="1">
        <v>5.6636769999999999E-8</v>
      </c>
      <c r="J330" s="1">
        <v>4.2553742000000004E-6</v>
      </c>
      <c r="K330" s="1">
        <v>8.2937808999999999E-7</v>
      </c>
      <c r="L330">
        <v>8.1426199000000001E-3</v>
      </c>
      <c r="M330">
        <v>1.3505409E-4</v>
      </c>
      <c r="N330">
        <v>-1.2077534000000001</v>
      </c>
      <c r="O330">
        <v>1.1279493999999999E-2</v>
      </c>
      <c r="P330" s="1">
        <v>3.1798010999999998E-8</v>
      </c>
      <c r="Q330" s="1">
        <v>6.9252363999999998E-10</v>
      </c>
      <c r="R330">
        <v>1.3861099E-3</v>
      </c>
      <c r="S330" s="1">
        <v>2.7141558E-5</v>
      </c>
    </row>
    <row r="331" spans="1:19" x14ac:dyDescent="0.2">
      <c r="A331" t="s">
        <v>678</v>
      </c>
      <c r="B331">
        <v>3.5217000000000001</v>
      </c>
      <c r="C331" t="s">
        <v>679</v>
      </c>
      <c r="D331" s="1">
        <v>726042180</v>
      </c>
      <c r="E331">
        <v>8340.1869999999999</v>
      </c>
      <c r="F331">
        <v>0.11006096</v>
      </c>
      <c r="G331">
        <v>1.0743255E-4</v>
      </c>
      <c r="H331" s="1">
        <v>9.6260771999999995E-6</v>
      </c>
      <c r="I331" s="1">
        <v>1.2907964000000001E-8</v>
      </c>
      <c r="J331" s="1">
        <v>1.7662988E-11</v>
      </c>
      <c r="K331" t="s">
        <v>187</v>
      </c>
      <c r="L331">
        <v>1.7142412999999999E-2</v>
      </c>
      <c r="M331" s="1">
        <v>6.5893332000000002E-5</v>
      </c>
      <c r="N331">
        <v>-1.6096074</v>
      </c>
      <c r="O331">
        <v>3.8444337999999998E-3</v>
      </c>
      <c r="P331" s="1">
        <v>1.4517022999999999E-8</v>
      </c>
      <c r="Q331" t="s">
        <v>187</v>
      </c>
      <c r="R331">
        <v>8.6244502999999998E-4</v>
      </c>
      <c r="S331" s="1">
        <v>9.4881617999999996E-6</v>
      </c>
    </row>
    <row r="332" spans="1:19" x14ac:dyDescent="0.2">
      <c r="A332" t="s">
        <v>680</v>
      </c>
      <c r="B332">
        <v>3.5217000000000001</v>
      </c>
      <c r="C332" t="s">
        <v>681</v>
      </c>
      <c r="D332" s="1">
        <v>725356250</v>
      </c>
      <c r="E332">
        <v>12541.903</v>
      </c>
      <c r="F332">
        <v>8.6053754999999996E-2</v>
      </c>
      <c r="G332">
        <v>1.23008E-4</v>
      </c>
      <c r="H332" s="1">
        <v>9.9411664000000007E-6</v>
      </c>
      <c r="I332" s="1">
        <v>1.9156074E-8</v>
      </c>
      <c r="J332" s="1">
        <v>3.2088775000000001E-12</v>
      </c>
      <c r="K332" t="s">
        <v>187</v>
      </c>
      <c r="L332">
        <v>1.300976E-2</v>
      </c>
      <c r="M332" s="1">
        <v>8.1317161000000001E-5</v>
      </c>
      <c r="N332">
        <v>-1.3926525000000001</v>
      </c>
      <c r="O332">
        <v>6.2912046000000001E-3</v>
      </c>
      <c r="P332" s="1">
        <v>1.2905881E-8</v>
      </c>
      <c r="Q332" t="s">
        <v>187</v>
      </c>
      <c r="R332">
        <v>6.4510928999999997E-4</v>
      </c>
      <c r="S332" s="1">
        <v>1.033836E-5</v>
      </c>
    </row>
    <row r="333" spans="1:19" x14ac:dyDescent="0.2">
      <c r="A333" t="s">
        <v>682</v>
      </c>
      <c r="B333">
        <v>3.5217000000000001</v>
      </c>
      <c r="C333" t="s">
        <v>683</v>
      </c>
      <c r="D333" s="1">
        <v>727360020</v>
      </c>
      <c r="E333">
        <v>22617.600999999999</v>
      </c>
      <c r="F333">
        <v>6.3449249999999999E-2</v>
      </c>
      <c r="G333">
        <v>1.3335344000000001E-4</v>
      </c>
      <c r="H333" s="1">
        <v>1.0249971000000001E-5</v>
      </c>
      <c r="I333" s="1">
        <v>2.8534778999999999E-8</v>
      </c>
      <c r="J333" s="1">
        <v>3.2851261E-13</v>
      </c>
      <c r="K333" t="s">
        <v>187</v>
      </c>
      <c r="L333">
        <v>1.009501E-2</v>
      </c>
      <c r="M333" s="1">
        <v>9.6585586999999997E-5</v>
      </c>
      <c r="N333">
        <v>-1.3351105999999999</v>
      </c>
      <c r="O333">
        <v>9.6802231999999992E-3</v>
      </c>
      <c r="P333" s="1">
        <v>1.1378904E-8</v>
      </c>
      <c r="Q333" t="s">
        <v>187</v>
      </c>
      <c r="R333">
        <v>7.1342200999999997E-4</v>
      </c>
      <c r="S333" s="1">
        <v>1.0695421E-5</v>
      </c>
    </row>
    <row r="334" spans="1:19" x14ac:dyDescent="0.2">
      <c r="A334" t="s">
        <v>684</v>
      </c>
      <c r="B334">
        <v>3.5217000000000001</v>
      </c>
      <c r="C334" t="s">
        <v>685</v>
      </c>
      <c r="D334" s="1">
        <v>730078630</v>
      </c>
      <c r="E334">
        <v>19087.241999999998</v>
      </c>
      <c r="F334">
        <v>4.6627173000000001E-2</v>
      </c>
      <c r="G334">
        <v>1.2506115000000001E-4</v>
      </c>
      <c r="H334" s="1">
        <v>1.0661546E-5</v>
      </c>
      <c r="I334" s="1">
        <v>3.7243313999999999E-8</v>
      </c>
      <c r="J334" s="1">
        <v>2.2897907E-14</v>
      </c>
      <c r="K334" t="s">
        <v>187</v>
      </c>
      <c r="L334">
        <v>6.2962117999999997E-3</v>
      </c>
      <c r="M334" s="1">
        <v>7.0338859999999996E-5</v>
      </c>
      <c r="N334">
        <v>-0.99306421</v>
      </c>
      <c r="O334">
        <v>1.1271444E-2</v>
      </c>
      <c r="P334" s="1">
        <v>1.4280572E-8</v>
      </c>
      <c r="Q334" t="s">
        <v>187</v>
      </c>
      <c r="R334">
        <v>1.1878161E-3</v>
      </c>
      <c r="S334" s="1">
        <v>9.5471858000000008E-6</v>
      </c>
    </row>
    <row r="335" spans="1:19" x14ac:dyDescent="0.2">
      <c r="A335" t="s">
        <v>686</v>
      </c>
      <c r="B335">
        <v>3.5217000000000001</v>
      </c>
      <c r="C335" t="s">
        <v>687</v>
      </c>
      <c r="D335" s="1">
        <v>731125490</v>
      </c>
      <c r="E335">
        <v>12660.751</v>
      </c>
      <c r="F335">
        <v>4.2182015000000003E-2</v>
      </c>
      <c r="G335">
        <v>1.2326578000000001E-4</v>
      </c>
      <c r="H335" s="1">
        <v>1.0553907999999999E-5</v>
      </c>
      <c r="I335" s="1">
        <v>3.9987583000000003E-8</v>
      </c>
      <c r="J335" s="1">
        <v>1.6564905999999999E-9</v>
      </c>
      <c r="K335" t="s">
        <v>187</v>
      </c>
      <c r="L335">
        <v>3.8172681E-3</v>
      </c>
      <c r="M335" s="1">
        <v>7.3407118E-5</v>
      </c>
      <c r="N335">
        <v>-2.1811413000000002</v>
      </c>
      <c r="O335">
        <v>1.3022704E-2</v>
      </c>
      <c r="P335" s="1">
        <v>2.1391039999999999E-8</v>
      </c>
      <c r="Q335" s="1">
        <v>5.1359015999999997E-10</v>
      </c>
      <c r="R335">
        <v>1.2726771999999999E-3</v>
      </c>
      <c r="S335" s="1">
        <v>9.3612258000000007E-6</v>
      </c>
    </row>
    <row r="336" spans="1:19" x14ac:dyDescent="0.2">
      <c r="A336" t="s">
        <v>688</v>
      </c>
      <c r="B336">
        <v>3.5217000000000001</v>
      </c>
      <c r="C336" t="s">
        <v>689</v>
      </c>
      <c r="D336" s="1">
        <v>729931220</v>
      </c>
      <c r="E336">
        <v>17451.204000000002</v>
      </c>
      <c r="F336">
        <v>2.9426715999999999E-2</v>
      </c>
      <c r="G336" s="1">
        <v>9.9673459000000002E-5</v>
      </c>
      <c r="H336" s="1">
        <v>1.0945514E-5</v>
      </c>
      <c r="I336" s="1">
        <v>4.6428973999999997E-8</v>
      </c>
      <c r="J336" s="1">
        <v>4.2441781999999999E-11</v>
      </c>
      <c r="K336" t="s">
        <v>187</v>
      </c>
      <c r="L336">
        <v>2.1234108999999999E-3</v>
      </c>
      <c r="M336" s="1">
        <v>5.0547726000000002E-5</v>
      </c>
      <c r="N336">
        <v>-3.0814173999999999</v>
      </c>
      <c r="O336">
        <v>1.6154928999999998E-2</v>
      </c>
      <c r="P336" s="1">
        <v>2.4571409E-8</v>
      </c>
      <c r="Q336" s="1">
        <v>7.3713049999999997E-10</v>
      </c>
      <c r="R336">
        <v>8.9179882000000005E-4</v>
      </c>
      <c r="S336" s="1">
        <v>6.9548298000000004E-6</v>
      </c>
    </row>
    <row r="337" spans="1:19" x14ac:dyDescent="0.2">
      <c r="A337" t="s">
        <v>690</v>
      </c>
      <c r="B337">
        <v>3.5217000000000001</v>
      </c>
      <c r="C337" t="s">
        <v>691</v>
      </c>
      <c r="D337" s="1">
        <v>725071410</v>
      </c>
      <c r="E337">
        <v>20376.383999999998</v>
      </c>
      <c r="F337">
        <v>2.2917696000000001E-2</v>
      </c>
      <c r="G337">
        <v>1.0275835000000001E-4</v>
      </c>
      <c r="H337" s="1">
        <v>1.1192985999999999E-5</v>
      </c>
      <c r="I337" s="1">
        <v>6.2090590999999995E-8</v>
      </c>
      <c r="J337" s="1">
        <v>4.0516500999999998E-9</v>
      </c>
      <c r="K337" t="s">
        <v>187</v>
      </c>
      <c r="L337">
        <v>1.5451334999999999E-3</v>
      </c>
      <c r="M337" s="1">
        <v>4.5944613999999999E-5</v>
      </c>
      <c r="N337">
        <v>-2.7423099</v>
      </c>
      <c r="O337">
        <v>2.0222348000000001E-2</v>
      </c>
      <c r="P337" s="1">
        <v>2.8142839000000001E-8</v>
      </c>
      <c r="Q337" s="1">
        <v>1.0725762000000001E-9</v>
      </c>
      <c r="R337">
        <v>5.8704611000000002E-4</v>
      </c>
      <c r="S337" s="1">
        <v>6.9315599999999996E-6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3140B-2BA8-944E-8DAC-C1EA598590DB}">
  <dimension ref="A1:J18"/>
  <sheetViews>
    <sheetView workbookViewId="0"/>
  </sheetViews>
  <sheetFormatPr baseColWidth="10" defaultRowHeight="16" x14ac:dyDescent="0.2"/>
  <cols>
    <col min="3" max="3" width="13.6640625" bestFit="1" customWidth="1"/>
    <col min="4" max="4" width="13.6640625" customWidth="1"/>
  </cols>
  <sheetData>
    <row r="1" spans="1:10" x14ac:dyDescent="0.2">
      <c r="A1" t="s">
        <v>692</v>
      </c>
      <c r="B1" t="s">
        <v>696</v>
      </c>
      <c r="C1" t="s">
        <v>697</v>
      </c>
      <c r="D1" t="s">
        <v>698</v>
      </c>
      <c r="E1" t="s">
        <v>693</v>
      </c>
      <c r="F1" t="s">
        <v>700</v>
      </c>
      <c r="G1" t="s">
        <v>761</v>
      </c>
      <c r="H1" t="s">
        <v>694</v>
      </c>
      <c r="I1" t="s">
        <v>699</v>
      </c>
      <c r="J1" t="s">
        <v>695</v>
      </c>
    </row>
    <row r="2" spans="1:10" x14ac:dyDescent="0.2">
      <c r="A2" s="2">
        <v>0.7416666666666667</v>
      </c>
      <c r="B2" s="2">
        <f>A2-A2</f>
        <v>0</v>
      </c>
      <c r="C2" s="4">
        <f>B2*86400</f>
        <v>0</v>
      </c>
      <c r="D2" s="3"/>
      <c r="E2">
        <v>6</v>
      </c>
    </row>
    <row r="3" spans="1:10" x14ac:dyDescent="0.2">
      <c r="A3" s="2">
        <v>0.76041666666666663</v>
      </c>
      <c r="B3" s="2">
        <f>A3-A2</f>
        <v>1.8749999999999933E-2</v>
      </c>
      <c r="C3" s="4">
        <f t="shared" ref="C3:C14" si="0">B3*86400</f>
        <v>1619.9999999999943</v>
      </c>
      <c r="D3" s="4">
        <f>C3-C2</f>
        <v>1619.9999999999943</v>
      </c>
      <c r="E3">
        <v>6.2</v>
      </c>
      <c r="F3">
        <f>AVERAGE(E3,E2)</f>
        <v>6.1</v>
      </c>
      <c r="G3">
        <f>F3*D3</f>
        <v>9881.9999999999654</v>
      </c>
    </row>
    <row r="4" spans="1:10" x14ac:dyDescent="0.2">
      <c r="A4" s="2">
        <v>0.77986111111111112</v>
      </c>
      <c r="B4" s="2">
        <f>A4-$A$2</f>
        <v>3.819444444444442E-2</v>
      </c>
      <c r="C4" s="4">
        <f t="shared" si="0"/>
        <v>3299.9999999999977</v>
      </c>
      <c r="D4" s="4">
        <f t="shared" ref="D4:D14" si="1">C4-C3</f>
        <v>1680.0000000000034</v>
      </c>
      <c r="E4">
        <v>6.2</v>
      </c>
      <c r="F4">
        <f>AVERAGE(E4,E3)</f>
        <v>6.2</v>
      </c>
      <c r="G4">
        <f t="shared" ref="G4:G14" si="2">F4*D4</f>
        <v>10416.000000000022</v>
      </c>
    </row>
    <row r="5" spans="1:10" x14ac:dyDescent="0.2">
      <c r="A5" s="2">
        <v>0.80208333333333337</v>
      </c>
      <c r="B5" s="2">
        <f t="shared" ref="B5:B14" si="3">A5-$A$2</f>
        <v>6.0416666666666674E-2</v>
      </c>
      <c r="C5" s="4">
        <f t="shared" si="0"/>
        <v>5220.0000000000009</v>
      </c>
      <c r="D5" s="4">
        <f t="shared" si="1"/>
        <v>1920.0000000000032</v>
      </c>
      <c r="E5">
        <v>6.2</v>
      </c>
      <c r="F5">
        <f t="shared" ref="F5:F14" si="4">AVERAGE(E5,E4)</f>
        <v>6.2</v>
      </c>
      <c r="G5">
        <f t="shared" si="2"/>
        <v>11904.00000000002</v>
      </c>
    </row>
    <row r="6" spans="1:10" x14ac:dyDescent="0.2">
      <c r="A6" s="2">
        <v>0.82291666666666663</v>
      </c>
      <c r="B6" s="2">
        <f t="shared" si="3"/>
        <v>8.1249999999999933E-2</v>
      </c>
      <c r="C6" s="4">
        <f t="shared" si="0"/>
        <v>7019.9999999999945</v>
      </c>
      <c r="D6" s="4">
        <f t="shared" si="1"/>
        <v>1799.9999999999936</v>
      </c>
      <c r="E6">
        <v>6.1</v>
      </c>
      <c r="F6">
        <f t="shared" si="4"/>
        <v>6.15</v>
      </c>
      <c r="G6">
        <f t="shared" si="2"/>
        <v>11069.999999999962</v>
      </c>
    </row>
    <row r="7" spans="1:10" x14ac:dyDescent="0.2">
      <c r="A7" s="2">
        <v>0.84861111111111109</v>
      </c>
      <c r="B7" s="2">
        <f t="shared" si="3"/>
        <v>0.1069444444444444</v>
      </c>
      <c r="C7" s="4">
        <f t="shared" si="0"/>
        <v>9239.9999999999964</v>
      </c>
      <c r="D7" s="4">
        <f t="shared" si="1"/>
        <v>2220.0000000000018</v>
      </c>
      <c r="E7">
        <v>6.2</v>
      </c>
      <c r="F7">
        <f t="shared" si="4"/>
        <v>6.15</v>
      </c>
      <c r="G7">
        <f t="shared" si="2"/>
        <v>13653.000000000013</v>
      </c>
    </row>
    <row r="8" spans="1:10" x14ac:dyDescent="0.2">
      <c r="A8" s="2">
        <v>0.86875000000000002</v>
      </c>
      <c r="B8" s="2">
        <f t="shared" si="3"/>
        <v>0.12708333333333333</v>
      </c>
      <c r="C8" s="4">
        <f t="shared" si="0"/>
        <v>10980</v>
      </c>
      <c r="D8" s="4">
        <f t="shared" si="1"/>
        <v>1740.0000000000036</v>
      </c>
      <c r="E8">
        <v>5.8</v>
      </c>
      <c r="F8">
        <f t="shared" si="4"/>
        <v>6</v>
      </c>
      <c r="G8">
        <f t="shared" si="2"/>
        <v>10440.000000000022</v>
      </c>
    </row>
    <row r="9" spans="1:10" x14ac:dyDescent="0.2">
      <c r="A9" s="2">
        <v>0.8881944444444444</v>
      </c>
      <c r="B9" s="2">
        <f t="shared" si="3"/>
        <v>0.1465277777777777</v>
      </c>
      <c r="C9" s="4">
        <f t="shared" si="0"/>
        <v>12659.999999999993</v>
      </c>
      <c r="D9" s="4">
        <f t="shared" si="1"/>
        <v>1679.9999999999927</v>
      </c>
      <c r="E9">
        <v>5.8</v>
      </c>
      <c r="F9">
        <f t="shared" si="4"/>
        <v>5.8</v>
      </c>
      <c r="G9">
        <f t="shared" si="2"/>
        <v>9743.9999999999582</v>
      </c>
    </row>
    <row r="10" spans="1:10" x14ac:dyDescent="0.2">
      <c r="A10" s="2">
        <v>0.90902777777777777</v>
      </c>
      <c r="B10" s="2">
        <f t="shared" si="3"/>
        <v>0.16736111111111107</v>
      </c>
      <c r="C10" s="4">
        <f t="shared" si="0"/>
        <v>14459.999999999996</v>
      </c>
      <c r="D10" s="4">
        <f t="shared" si="1"/>
        <v>1800.0000000000036</v>
      </c>
      <c r="E10">
        <v>5.6</v>
      </c>
      <c r="F10">
        <f t="shared" si="4"/>
        <v>5.6999999999999993</v>
      </c>
      <c r="G10">
        <f t="shared" si="2"/>
        <v>10260.00000000002</v>
      </c>
    </row>
    <row r="11" spans="1:10" x14ac:dyDescent="0.2">
      <c r="A11" s="2">
        <v>0.9243055555555556</v>
      </c>
      <c r="B11" s="2">
        <f t="shared" si="3"/>
        <v>0.18263888888888891</v>
      </c>
      <c r="C11" s="4">
        <f t="shared" si="0"/>
        <v>15780.000000000002</v>
      </c>
      <c r="D11" s="4">
        <f t="shared" si="1"/>
        <v>1320.0000000000055</v>
      </c>
      <c r="E11">
        <v>5.2</v>
      </c>
      <c r="F11">
        <f t="shared" si="4"/>
        <v>5.4</v>
      </c>
      <c r="G11">
        <f t="shared" si="2"/>
        <v>7128.00000000003</v>
      </c>
    </row>
    <row r="12" spans="1:10" x14ac:dyDescent="0.2">
      <c r="A12" s="2">
        <v>0.93819444444444444</v>
      </c>
      <c r="B12" s="2">
        <f t="shared" si="3"/>
        <v>0.19652777777777775</v>
      </c>
      <c r="C12" s="4">
        <f t="shared" si="0"/>
        <v>16979.999999999996</v>
      </c>
      <c r="D12" s="4">
        <f t="shared" si="1"/>
        <v>1199.9999999999945</v>
      </c>
      <c r="E12">
        <v>5</v>
      </c>
      <c r="F12">
        <f t="shared" si="4"/>
        <v>5.0999999999999996</v>
      </c>
      <c r="G12">
        <f t="shared" si="2"/>
        <v>6119.9999999999718</v>
      </c>
    </row>
    <row r="13" spans="1:10" x14ac:dyDescent="0.2">
      <c r="A13" s="2">
        <v>0.94930555555555551</v>
      </c>
      <c r="B13" s="2">
        <f t="shared" si="3"/>
        <v>0.20763888888888882</v>
      </c>
      <c r="C13" s="4">
        <f t="shared" si="0"/>
        <v>17939.999999999993</v>
      </c>
      <c r="D13" s="4">
        <f t="shared" si="1"/>
        <v>959.99999999999636</v>
      </c>
      <c r="E13">
        <v>4.9000000000000004</v>
      </c>
      <c r="F13">
        <f t="shared" si="4"/>
        <v>4.95</v>
      </c>
      <c r="G13">
        <f t="shared" si="2"/>
        <v>4751.9999999999818</v>
      </c>
    </row>
    <row r="14" spans="1:10" x14ac:dyDescent="0.2">
      <c r="A14" s="2">
        <v>0.95763888888888893</v>
      </c>
      <c r="B14" s="2">
        <f t="shared" si="3"/>
        <v>0.21597222222222223</v>
      </c>
      <c r="C14" s="4">
        <f t="shared" si="0"/>
        <v>18660</v>
      </c>
      <c r="D14" s="4">
        <f t="shared" si="1"/>
        <v>720.00000000000728</v>
      </c>
      <c r="E14">
        <v>4.9000000000000004</v>
      </c>
      <c r="F14">
        <f t="shared" si="4"/>
        <v>4.9000000000000004</v>
      </c>
      <c r="G14">
        <f t="shared" si="2"/>
        <v>3528.0000000000359</v>
      </c>
    </row>
    <row r="15" spans="1:10" x14ac:dyDescent="0.2">
      <c r="G15" t="s">
        <v>762</v>
      </c>
    </row>
    <row r="16" spans="1:10" x14ac:dyDescent="0.2">
      <c r="F16" t="s">
        <v>763</v>
      </c>
      <c r="G16">
        <f>AVERAGE(G3:G14)</f>
        <v>9074.7499999999982</v>
      </c>
    </row>
    <row r="18" spans="6:7" x14ac:dyDescent="0.2">
      <c r="F18" t="s">
        <v>764</v>
      </c>
      <c r="G18">
        <f>G16/C14</f>
        <v>0.48632100750267943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3968-8459-5546-871B-E14C4C72698D}">
  <dimension ref="A1:R117"/>
  <sheetViews>
    <sheetView workbookViewId="0"/>
  </sheetViews>
  <sheetFormatPr baseColWidth="10" defaultColWidth="8.83203125" defaultRowHeight="15" x14ac:dyDescent="0.2"/>
  <cols>
    <col min="1" max="1" width="11.5" style="5" bestFit="1" customWidth="1"/>
    <col min="2" max="2" width="10.1640625" style="5" customWidth="1"/>
    <col min="3" max="3" width="8.83203125" style="5" customWidth="1"/>
    <col min="4" max="4" width="32.5" style="5" customWidth="1"/>
    <col min="5" max="6" width="10.5" style="5" bestFit="1" customWidth="1"/>
    <col min="7" max="7" width="9.6640625" style="5" bestFit="1" customWidth="1"/>
    <col min="8" max="8" width="11.5" style="5" bestFit="1" customWidth="1"/>
    <col min="9" max="9" width="6.83203125" style="5" bestFit="1" customWidth="1"/>
    <col min="10" max="11" width="18.5" style="5" bestFit="1" customWidth="1"/>
    <col min="12" max="12" width="18.5" style="5" customWidth="1"/>
    <col min="13" max="13" width="15.33203125" style="5" bestFit="1" customWidth="1"/>
    <col min="14" max="14" width="13.5" style="5" bestFit="1" customWidth="1"/>
    <col min="15" max="15" width="20.5" style="5" bestFit="1" customWidth="1"/>
    <col min="16" max="16" width="19.5" style="5" bestFit="1" customWidth="1"/>
    <col min="17" max="17" width="17.1640625" style="5" bestFit="1" customWidth="1"/>
    <col min="18" max="18" width="6.5" style="5" bestFit="1" customWidth="1"/>
    <col min="19" max="16384" width="8.83203125" style="5"/>
  </cols>
  <sheetData>
    <row r="1" spans="1:16" ht="16" x14ac:dyDescent="0.2">
      <c r="A1" t="s">
        <v>698</v>
      </c>
      <c r="E1" s="5" t="s">
        <v>767</v>
      </c>
      <c r="F1" s="5" t="s">
        <v>766</v>
      </c>
      <c r="G1" s="5" t="s">
        <v>765</v>
      </c>
      <c r="H1" s="23" t="s">
        <v>693</v>
      </c>
      <c r="I1" t="s">
        <v>700</v>
      </c>
    </row>
    <row r="2" spans="1:16" ht="16" x14ac:dyDescent="0.2">
      <c r="A2">
        <v>1619.9999999999943</v>
      </c>
      <c r="B2" s="5">
        <v>0.4499999999999984</v>
      </c>
      <c r="E2" s="5">
        <v>0.5</v>
      </c>
      <c r="F2" s="5">
        <v>0.37</v>
      </c>
      <c r="G2" s="5">
        <v>0.43</v>
      </c>
      <c r="H2" s="23">
        <v>6.2</v>
      </c>
      <c r="I2">
        <v>6.1</v>
      </c>
    </row>
    <row r="3" spans="1:16" ht="16" x14ac:dyDescent="0.2">
      <c r="A3">
        <v>1680.0000000000034</v>
      </c>
      <c r="B3" s="5">
        <v>0.46666666666666762</v>
      </c>
      <c r="E3" s="5">
        <v>0.52</v>
      </c>
      <c r="F3" s="5">
        <v>0.39</v>
      </c>
      <c r="G3" s="5">
        <v>0.45</v>
      </c>
      <c r="H3" s="23">
        <v>6.2</v>
      </c>
      <c r="I3">
        <v>6.2</v>
      </c>
    </row>
    <row r="4" spans="1:16" ht="16" x14ac:dyDescent="0.2">
      <c r="A4">
        <v>1920.0000000000032</v>
      </c>
      <c r="B4" s="5">
        <v>0.53333333333333421</v>
      </c>
      <c r="E4" s="5">
        <v>0.6</v>
      </c>
      <c r="F4" s="5">
        <v>0.44</v>
      </c>
      <c r="G4" s="5">
        <v>0.51</v>
      </c>
      <c r="H4" s="23">
        <v>6.2</v>
      </c>
      <c r="I4">
        <v>6.2</v>
      </c>
    </row>
    <row r="5" spans="1:16" ht="16" x14ac:dyDescent="0.2">
      <c r="A5">
        <v>1799.9999999999936</v>
      </c>
      <c r="B5" s="5">
        <v>0.49999999999999822</v>
      </c>
      <c r="E5" s="5">
        <v>0.56000000000000005</v>
      </c>
      <c r="F5" s="5">
        <v>0.41</v>
      </c>
      <c r="G5" s="5">
        <v>0.48</v>
      </c>
      <c r="H5" s="23">
        <v>6.1</v>
      </c>
      <c r="I5">
        <v>6.15</v>
      </c>
    </row>
    <row r="6" spans="1:16" ht="16" x14ac:dyDescent="0.2">
      <c r="A6">
        <v>2220.0000000000018</v>
      </c>
      <c r="B6" s="5">
        <v>0.61666666666666714</v>
      </c>
      <c r="E6" s="5">
        <v>0.69</v>
      </c>
      <c r="F6" s="5">
        <v>0.51</v>
      </c>
      <c r="G6" s="5">
        <v>0.59</v>
      </c>
      <c r="H6" s="23">
        <v>6.2</v>
      </c>
      <c r="I6">
        <v>6.15</v>
      </c>
    </row>
    <row r="7" spans="1:16" ht="16" x14ac:dyDescent="0.2">
      <c r="A7">
        <v>1740.0000000000036</v>
      </c>
      <c r="B7" s="5">
        <v>0.48333333333333434</v>
      </c>
      <c r="E7" s="5">
        <v>0.52</v>
      </c>
      <c r="F7" s="5">
        <v>0.39</v>
      </c>
      <c r="G7" s="5">
        <v>0.45</v>
      </c>
      <c r="H7" s="23">
        <v>5.8</v>
      </c>
      <c r="I7">
        <v>6</v>
      </c>
    </row>
    <row r="8" spans="1:16" ht="16" x14ac:dyDescent="0.2">
      <c r="A8">
        <v>1679.9999999999927</v>
      </c>
      <c r="B8" s="5">
        <v>0.46666666666666462</v>
      </c>
      <c r="E8" s="5">
        <v>0.49</v>
      </c>
      <c r="F8" s="5">
        <v>0.36</v>
      </c>
      <c r="G8" s="5">
        <v>0.42</v>
      </c>
      <c r="H8" s="23">
        <v>5.8</v>
      </c>
      <c r="I8">
        <v>5.8</v>
      </c>
    </row>
    <row r="9" spans="1:16" ht="16" x14ac:dyDescent="0.2">
      <c r="A9">
        <v>1800.0000000000036</v>
      </c>
      <c r="B9" s="5">
        <v>0.500000000000001</v>
      </c>
      <c r="E9" s="5">
        <v>0.52</v>
      </c>
      <c r="F9" s="5">
        <v>0.38</v>
      </c>
      <c r="G9" s="5">
        <v>0.45</v>
      </c>
      <c r="H9" s="23">
        <v>5.6</v>
      </c>
      <c r="I9">
        <v>5.6999999999999993</v>
      </c>
    </row>
    <row r="10" spans="1:16" ht="16" x14ac:dyDescent="0.2">
      <c r="A10">
        <v>1320.0000000000055</v>
      </c>
      <c r="B10" s="5">
        <v>0.3666666666666682</v>
      </c>
      <c r="E10" s="5">
        <v>0.36</v>
      </c>
      <c r="F10" s="5">
        <v>0.26</v>
      </c>
      <c r="G10" s="5">
        <v>0.31</v>
      </c>
      <c r="H10" s="23">
        <v>5.2</v>
      </c>
      <c r="I10">
        <v>5.4</v>
      </c>
    </row>
    <row r="11" spans="1:16" ht="16" x14ac:dyDescent="0.2">
      <c r="A11">
        <v>1199.9999999999945</v>
      </c>
      <c r="B11" s="5">
        <v>0.33333333333333182</v>
      </c>
      <c r="E11" s="5">
        <v>0.31</v>
      </c>
      <c r="F11" s="5">
        <v>0.23</v>
      </c>
      <c r="G11" s="5">
        <v>0.27</v>
      </c>
      <c r="H11" s="23">
        <v>5</v>
      </c>
      <c r="I11">
        <v>5.0999999999999996</v>
      </c>
    </row>
    <row r="12" spans="1:16" ht="16" x14ac:dyDescent="0.2">
      <c r="A12">
        <v>959.99999999999636</v>
      </c>
      <c r="B12" s="5">
        <v>0.26666666666666566</v>
      </c>
      <c r="E12" s="5">
        <v>0.24</v>
      </c>
      <c r="F12" s="5">
        <v>0.18</v>
      </c>
      <c r="G12" s="5">
        <v>0.21</v>
      </c>
      <c r="H12" s="23">
        <v>4.9000000000000004</v>
      </c>
      <c r="I12">
        <v>4.95</v>
      </c>
    </row>
    <row r="13" spans="1:16" ht="16" x14ac:dyDescent="0.2">
      <c r="A13">
        <v>720.00000000000728</v>
      </c>
      <c r="B13" s="5">
        <v>0.20000000000000201</v>
      </c>
      <c r="C13"/>
      <c r="E13" s="5">
        <v>0.18</v>
      </c>
      <c r="F13" s="5">
        <v>0.13</v>
      </c>
      <c r="G13" s="5">
        <v>0.16</v>
      </c>
      <c r="H13" s="24">
        <v>4.9000000000000004</v>
      </c>
      <c r="I13" s="5">
        <v>4.9000000000000004</v>
      </c>
    </row>
    <row r="14" spans="1:16" ht="16" x14ac:dyDescent="0.2">
      <c r="A14"/>
      <c r="C14"/>
      <c r="D14" s="5" t="s">
        <v>768</v>
      </c>
      <c r="E14" s="5">
        <f>SUM(E2:E13)</f>
        <v>5.49</v>
      </c>
      <c r="F14" s="5">
        <f t="shared" ref="F14:G14" si="0">SUM(F2:F13)</f>
        <v>4.05</v>
      </c>
      <c r="G14" s="5">
        <f t="shared" si="0"/>
        <v>4.7299999999999995</v>
      </c>
      <c r="H14" s="25"/>
    </row>
    <row r="16" spans="1:16" ht="16" x14ac:dyDescent="0.2">
      <c r="A16" s="5" t="s">
        <v>701</v>
      </c>
      <c r="B16" s="5" t="s">
        <v>702</v>
      </c>
      <c r="C16" s="5" t="s">
        <v>703</v>
      </c>
      <c r="D16" s="6" t="s">
        <v>704</v>
      </c>
      <c r="G16" s="5" t="s">
        <v>705</v>
      </c>
      <c r="H16" s="5" t="s">
        <v>706</v>
      </c>
      <c r="I16" s="7" t="s">
        <v>707</v>
      </c>
      <c r="J16" s="5" t="s">
        <v>708</v>
      </c>
      <c r="K16" s="5" t="s">
        <v>708</v>
      </c>
      <c r="L16" s="5" t="s">
        <v>708</v>
      </c>
      <c r="M16" s="5" t="s">
        <v>709</v>
      </c>
      <c r="N16" s="5" t="s">
        <v>710</v>
      </c>
      <c r="O16" s="5" t="s">
        <v>711</v>
      </c>
      <c r="P16" s="5" t="s">
        <v>711</v>
      </c>
    </row>
    <row r="17" spans="1:16" x14ac:dyDescent="0.2">
      <c r="A17" s="5" t="s">
        <v>712</v>
      </c>
      <c r="D17" s="8" t="s">
        <v>713</v>
      </c>
      <c r="G17" s="5">
        <v>0</v>
      </c>
      <c r="I17" s="7"/>
      <c r="J17" s="5" t="s">
        <v>714</v>
      </c>
      <c r="K17" s="5" t="s">
        <v>715</v>
      </c>
      <c r="L17" s="5" t="s">
        <v>716</v>
      </c>
      <c r="M17" s="9" t="s">
        <v>717</v>
      </c>
      <c r="N17" s="5" t="s">
        <v>717</v>
      </c>
      <c r="O17" s="5" t="s">
        <v>718</v>
      </c>
      <c r="P17" s="5" t="s">
        <v>719</v>
      </c>
    </row>
    <row r="18" spans="1:16" x14ac:dyDescent="0.2">
      <c r="A18" s="9">
        <v>200.01</v>
      </c>
      <c r="B18" s="9">
        <v>2.05404E-2</v>
      </c>
      <c r="C18" s="9">
        <v>0.29092800000000002</v>
      </c>
      <c r="E18" s="5">
        <f>B13</f>
        <v>0.20000000000000201</v>
      </c>
      <c r="F18" s="9" t="s">
        <v>720</v>
      </c>
      <c r="G18" s="7">
        <f>A18/10000</f>
        <v>2.0000999999999998E-2</v>
      </c>
      <c r="H18" s="9">
        <f>dpa_conversion!B18+dpa_conversion!C18</f>
        <v>0.31146840000000003</v>
      </c>
      <c r="I18" s="7">
        <f>(H18*$E$28/100000000000000)*(1/($E$34/1E+22))</f>
        <v>7.2035108419940597E-2</v>
      </c>
      <c r="J18" s="5">
        <f t="shared" ref="J18:J81" si="1">IF(G18&lt;$E$38,I18,-2)</f>
        <v>7.2035108419940597E-2</v>
      </c>
      <c r="K18" s="5">
        <f t="shared" ref="K18:K81" si="2">IF(G18&lt;$E$39,I18,-2)</f>
        <v>7.2035108419940597E-2</v>
      </c>
      <c r="L18" s="5">
        <f>IF(0.01&lt;I18,I18,-2)</f>
        <v>7.2035108419940597E-2</v>
      </c>
      <c r="M18" s="7">
        <f>MAX($I$18:$I$117)*EXP(-G18/$E$38)</f>
        <v>0.27284611531709801</v>
      </c>
      <c r="N18" s="7">
        <f>MAX($I$18:$I$117)*EXP(-G18/$E$39)</f>
        <v>0.27630523811628643</v>
      </c>
      <c r="O18" s="7">
        <f>(G18-G17)*I18*(M18/MAX($I$18:$I$117))/(1-EXP(-1))</f>
        <v>2.2375351376886215E-3</v>
      </c>
      <c r="P18" s="7">
        <f>(G18-G17)*I18*(N18/MAX($I$18:$I$117))/(1-EXP(-1))</f>
        <v>2.2659024420930425E-3</v>
      </c>
    </row>
    <row r="19" spans="1:16" x14ac:dyDescent="0.2">
      <c r="A19" s="9">
        <v>400.01</v>
      </c>
      <c r="B19" s="9">
        <v>2.20699E-2</v>
      </c>
      <c r="C19" s="9">
        <v>0.31705100000000003</v>
      </c>
      <c r="D19" s="8" t="s">
        <v>721</v>
      </c>
      <c r="G19" s="7">
        <f t="shared" ref="G19:G82" si="3">A19/10000</f>
        <v>4.0001000000000002E-2</v>
      </c>
      <c r="H19" s="9">
        <f>dpa_conversion!B19+dpa_conversion!C19</f>
        <v>0.3391209</v>
      </c>
      <c r="I19" s="7">
        <f t="shared" ref="I19:I82" si="4">(H19*$E$28/100000000000000)*(1/($E$34/1E+22))</f>
        <v>7.8430462926472905E-2</v>
      </c>
      <c r="J19" s="5">
        <f t="shared" si="1"/>
        <v>7.8430462926472905E-2</v>
      </c>
      <c r="K19" s="5">
        <f t="shared" si="2"/>
        <v>7.8430462926472905E-2</v>
      </c>
      <c r="L19" s="5">
        <f t="shared" ref="L19:L82" si="5">IF(0.01&lt;I19,I19,-2)</f>
        <v>7.8430462926472905E-2</v>
      </c>
      <c r="M19" s="7">
        <f t="shared" ref="M19:M82" si="6">MAX($I$18:$I$117)*EXP(-G19/$E$38)</f>
        <v>0.26785023490124038</v>
      </c>
      <c r="N19" s="7">
        <f t="shared" ref="N19:N82" si="7">MAX($I$18:$I$117)*EXP(-G19/$E$39)</f>
        <v>0.27468468419413061</v>
      </c>
      <c r="O19" s="7">
        <f t="shared" ref="O19:O82" si="8">(G19-G18)*I19*(M19/MAX($I$18:$I$117))/(1-EXP(-1))</f>
        <v>2.3914591723596945E-3</v>
      </c>
      <c r="P19" s="7">
        <f t="shared" ref="P19:P82" si="9">(G19-G18)*I19*(N19/MAX($I$18:$I$117))/(1-EXP(-1))</f>
        <v>2.4524794901336767E-3</v>
      </c>
    </row>
    <row r="20" spans="1:16" x14ac:dyDescent="0.2">
      <c r="A20" s="9">
        <v>600.01</v>
      </c>
      <c r="B20" s="9">
        <v>2.24625E-2</v>
      </c>
      <c r="C20" s="9">
        <v>0.31796600000000003</v>
      </c>
      <c r="D20" s="5" t="s">
        <v>722</v>
      </c>
      <c r="E20" s="10">
        <f>I13</f>
        <v>4.9000000000000004</v>
      </c>
      <c r="F20" s="5" t="s">
        <v>723</v>
      </c>
      <c r="G20" s="7">
        <f t="shared" si="3"/>
        <v>6.0000999999999999E-2</v>
      </c>
      <c r="H20" s="9">
        <f>dpa_conversion!B20+dpa_conversion!C20</f>
        <v>0.34042850000000002</v>
      </c>
      <c r="I20" s="7">
        <f t="shared" si="4"/>
        <v>7.8732879183691665E-2</v>
      </c>
      <c r="J20" s="5">
        <f t="shared" si="1"/>
        <v>7.8732879183691665E-2</v>
      </c>
      <c r="K20" s="5">
        <f t="shared" si="2"/>
        <v>7.8732879183691665E-2</v>
      </c>
      <c r="L20" s="5">
        <f t="shared" si="5"/>
        <v>7.8732879183691665E-2</v>
      </c>
      <c r="M20" s="7">
        <f t="shared" si="6"/>
        <v>0.26294583030170704</v>
      </c>
      <c r="N20" s="7">
        <f t="shared" si="7"/>
        <v>0.27307363495973436</v>
      </c>
      <c r="O20" s="7">
        <f t="shared" si="8"/>
        <v>2.3567232302710611E-3</v>
      </c>
      <c r="P20" s="7">
        <f t="shared" si="9"/>
        <v>2.4474964229162289E-3</v>
      </c>
    </row>
    <row r="21" spans="1:16" x14ac:dyDescent="0.2">
      <c r="A21" s="9">
        <v>800.01</v>
      </c>
      <c r="B21" s="9">
        <v>2.2918600000000001E-2</v>
      </c>
      <c r="C21" s="9">
        <v>0.33285199999999998</v>
      </c>
      <c r="D21" s="5" t="s">
        <v>724</v>
      </c>
      <c r="E21" s="10">
        <f>E18*3600</f>
        <v>720.00000000000728</v>
      </c>
      <c r="F21" s="5" t="s">
        <v>725</v>
      </c>
      <c r="G21" s="7">
        <f t="shared" si="3"/>
        <v>8.0001000000000003E-2</v>
      </c>
      <c r="H21" s="9">
        <f>dpa_conversion!B21+dpa_conversion!C21</f>
        <v>0.35577059999999999</v>
      </c>
      <c r="I21" s="7">
        <f t="shared" si="4"/>
        <v>8.2281135882893139E-2</v>
      </c>
      <c r="J21" s="5">
        <f t="shared" si="1"/>
        <v>8.2281135882893139E-2</v>
      </c>
      <c r="K21" s="5">
        <f t="shared" si="2"/>
        <v>8.2281135882893139E-2</v>
      </c>
      <c r="L21" s="5">
        <f t="shared" si="5"/>
        <v>8.2281135882893139E-2</v>
      </c>
      <c r="M21" s="7">
        <f t="shared" si="6"/>
        <v>0.25813122657348819</v>
      </c>
      <c r="N21" s="7">
        <f t="shared" si="7"/>
        <v>0.27147203466728859</v>
      </c>
      <c r="O21" s="7">
        <f t="shared" si="8"/>
        <v>2.4178368059964211E-3</v>
      </c>
      <c r="P21" s="7">
        <f t="shared" si="9"/>
        <v>2.5427961038663465E-3</v>
      </c>
    </row>
    <row r="22" spans="1:16" x14ac:dyDescent="0.2">
      <c r="A22" s="9">
        <v>1000.01</v>
      </c>
      <c r="B22" s="9">
        <v>2.32511E-2</v>
      </c>
      <c r="C22" s="9">
        <v>0.335011</v>
      </c>
      <c r="D22" s="5" t="s">
        <v>726</v>
      </c>
      <c r="E22" s="9">
        <f>E20*0.000000001*E21</f>
        <v>3.5280000000000364E-6</v>
      </c>
      <c r="F22" s="5" t="s">
        <v>727</v>
      </c>
      <c r="G22" s="7">
        <f t="shared" si="3"/>
        <v>0.10000099999999999</v>
      </c>
      <c r="H22" s="9">
        <f>dpa_conversion!B22+dpa_conversion!C22</f>
        <v>0.35826210000000003</v>
      </c>
      <c r="I22" s="7">
        <f t="shared" si="4"/>
        <v>8.2857359578870915E-2</v>
      </c>
      <c r="J22" s="5">
        <f t="shared" si="1"/>
        <v>8.2857359578870915E-2</v>
      </c>
      <c r="K22" s="5">
        <f t="shared" si="2"/>
        <v>8.2857359578870915E-2</v>
      </c>
      <c r="L22" s="5">
        <f t="shared" si="5"/>
        <v>8.2857359578870915E-2</v>
      </c>
      <c r="M22" s="7">
        <f t="shared" si="6"/>
        <v>0.25340477944023493</v>
      </c>
      <c r="N22" s="7">
        <f t="shared" si="7"/>
        <v>0.2698798278979383</v>
      </c>
      <c r="O22" s="7">
        <f t="shared" si="8"/>
        <v>2.3901879478535415E-3</v>
      </c>
      <c r="P22" s="7">
        <f t="shared" si="9"/>
        <v>2.5455854204303875E-3</v>
      </c>
    </row>
    <row r="23" spans="1:16" x14ac:dyDescent="0.2">
      <c r="A23" s="9">
        <v>1200.01</v>
      </c>
      <c r="B23" s="9">
        <v>2.3694300000000001E-2</v>
      </c>
      <c r="C23" s="9">
        <v>0.346576</v>
      </c>
      <c r="D23" s="5" t="s">
        <v>728</v>
      </c>
      <c r="E23" s="11">
        <v>3</v>
      </c>
      <c r="F23" s="5" t="s">
        <v>729</v>
      </c>
      <c r="G23" s="7">
        <f t="shared" si="3"/>
        <v>0.120001</v>
      </c>
      <c r="H23" s="9">
        <f>dpa_conversion!B23+dpa_conversion!C23</f>
        <v>0.3702703</v>
      </c>
      <c r="I23" s="7">
        <f t="shared" si="4"/>
        <v>8.5634565834556337E-2</v>
      </c>
      <c r="J23" s="5">
        <f t="shared" si="1"/>
        <v>8.5634565834556337E-2</v>
      </c>
      <c r="K23" s="5">
        <f t="shared" si="2"/>
        <v>8.5634565834556337E-2</v>
      </c>
      <c r="L23" s="5">
        <f t="shared" si="5"/>
        <v>8.5634565834556337E-2</v>
      </c>
      <c r="M23" s="7">
        <f t="shared" si="6"/>
        <v>0.24876487473270817</v>
      </c>
      <c r="N23" s="7">
        <f t="shared" si="7"/>
        <v>0.26829695955786476</v>
      </c>
      <c r="O23" s="7">
        <f t="shared" si="8"/>
        <v>2.4250702265311659E-3</v>
      </c>
      <c r="P23" s="7">
        <f t="shared" si="9"/>
        <v>2.6154776440673547E-3</v>
      </c>
    </row>
    <row r="24" spans="1:16" x14ac:dyDescent="0.2">
      <c r="A24" s="9">
        <v>1400.01</v>
      </c>
      <c r="B24" s="9">
        <v>2.4186099999999999E-2</v>
      </c>
      <c r="C24" s="9">
        <v>0.369896</v>
      </c>
      <c r="D24" s="5" t="s">
        <v>730</v>
      </c>
      <c r="E24" s="9">
        <f>E22/(E23*1.6E-19)</f>
        <v>7350000000000.0762</v>
      </c>
      <c r="F24" s="5" t="s">
        <v>731</v>
      </c>
      <c r="G24" s="7">
        <f t="shared" si="3"/>
        <v>0.14000099999999999</v>
      </c>
      <c r="H24" s="9">
        <f>dpa_conversion!B24+dpa_conversion!C24</f>
        <v>0.39408209999999999</v>
      </c>
      <c r="I24" s="7">
        <f t="shared" si="4"/>
        <v>9.1141659313939596E-2</v>
      </c>
      <c r="J24" s="5">
        <f t="shared" si="1"/>
        <v>9.1141659313939596E-2</v>
      </c>
      <c r="K24" s="5">
        <f t="shared" si="2"/>
        <v>9.1141659313939596E-2</v>
      </c>
      <c r="L24" s="5">
        <f t="shared" si="5"/>
        <v>9.1141659313939596E-2</v>
      </c>
      <c r="M24" s="7">
        <f t="shared" si="6"/>
        <v>0.2442099278375103</v>
      </c>
      <c r="N24" s="7">
        <f t="shared" si="7"/>
        <v>0.26672337487637932</v>
      </c>
      <c r="O24" s="7">
        <f t="shared" si="8"/>
        <v>2.533765434526609E-3</v>
      </c>
      <c r="P24" s="7">
        <f t="shared" si="9"/>
        <v>2.7673505079274211E-3</v>
      </c>
    </row>
    <row r="25" spans="1:16" x14ac:dyDescent="0.2">
      <c r="A25" s="9">
        <v>1600.01</v>
      </c>
      <c r="B25" s="9">
        <v>2.4658200000000002E-2</v>
      </c>
      <c r="C25" s="9">
        <v>0.38137599999999999</v>
      </c>
      <c r="D25" s="5" t="s">
        <v>732</v>
      </c>
      <c r="E25" s="10">
        <v>2</v>
      </c>
      <c r="F25" s="5" t="s">
        <v>733</v>
      </c>
      <c r="G25" s="7">
        <f t="shared" si="3"/>
        <v>0.160001</v>
      </c>
      <c r="H25" s="9">
        <f>dpa_conversion!B25+dpa_conversion!C25</f>
        <v>0.40603420000000001</v>
      </c>
      <c r="I25" s="7">
        <f t="shared" si="4"/>
        <v>9.3905890996338115E-2</v>
      </c>
      <c r="J25" s="5">
        <f t="shared" si="1"/>
        <v>9.3905890996338115E-2</v>
      </c>
      <c r="K25" s="5">
        <f t="shared" si="2"/>
        <v>9.3905890996338115E-2</v>
      </c>
      <c r="L25" s="5">
        <f t="shared" si="5"/>
        <v>9.3905890996338115E-2</v>
      </c>
      <c r="M25" s="7">
        <f t="shared" si="6"/>
        <v>0.23973838315591017</v>
      </c>
      <c r="N25" s="7">
        <f t="shared" si="7"/>
        <v>0.26515901940402797</v>
      </c>
      <c r="O25" s="7">
        <f t="shared" si="8"/>
        <v>2.5628109484416798E-3</v>
      </c>
      <c r="P25" s="7">
        <f t="shared" si="9"/>
        <v>2.834558359245988E-3</v>
      </c>
    </row>
    <row r="26" spans="1:16" x14ac:dyDescent="0.2">
      <c r="A26" s="9">
        <v>1800.01</v>
      </c>
      <c r="B26" s="9">
        <v>2.5178599999999999E-2</v>
      </c>
      <c r="C26" s="9">
        <v>0.38002599999999997</v>
      </c>
      <c r="D26" s="5" t="s">
        <v>734</v>
      </c>
      <c r="E26" s="9">
        <f>PI()*(E25*0.001/2)*(E25*0.001/(SQRT(2)))</f>
        <v>4.4428829381583664E-6</v>
      </c>
      <c r="F26" s="5" t="s">
        <v>735</v>
      </c>
      <c r="G26" s="7">
        <f t="shared" si="3"/>
        <v>0.18000099999999999</v>
      </c>
      <c r="H26" s="9">
        <f>dpa_conversion!B26+dpa_conversion!C26</f>
        <v>0.40520459999999997</v>
      </c>
      <c r="I26" s="7">
        <f t="shared" si="4"/>
        <v>9.3714024579246741E-2</v>
      </c>
      <c r="J26" s="5">
        <f t="shared" si="1"/>
        <v>9.3714024579246741E-2</v>
      </c>
      <c r="K26" s="5">
        <f t="shared" si="2"/>
        <v>9.3714024579246741E-2</v>
      </c>
      <c r="L26" s="5">
        <f t="shared" si="5"/>
        <v>9.3714024579246741E-2</v>
      </c>
      <c r="M26" s="7">
        <f t="shared" si="6"/>
        <v>0.23534871357257733</v>
      </c>
      <c r="N26" s="7">
        <f t="shared" si="7"/>
        <v>0.2636038390107075</v>
      </c>
      <c r="O26" s="7">
        <f t="shared" si="8"/>
        <v>2.5107448403646829E-3</v>
      </c>
      <c r="P26" s="7">
        <f t="shared" si="9"/>
        <v>2.8121758927412027E-3</v>
      </c>
    </row>
    <row r="27" spans="1:16" x14ac:dyDescent="0.2">
      <c r="A27" s="9">
        <v>2000.01</v>
      </c>
      <c r="B27" s="9">
        <v>2.5642700000000001E-2</v>
      </c>
      <c r="C27" s="9">
        <v>0.39703899999999998</v>
      </c>
      <c r="D27" s="5" t="s">
        <v>736</v>
      </c>
      <c r="E27" s="9">
        <f>E24/E26</f>
        <v>1.6543312309386995E+18</v>
      </c>
      <c r="F27" s="5" t="s">
        <v>737</v>
      </c>
      <c r="G27" s="7">
        <f t="shared" si="3"/>
        <v>0.20000100000000001</v>
      </c>
      <c r="H27" s="9">
        <f>dpa_conversion!B27+dpa_conversion!C27</f>
        <v>0.42268169999999999</v>
      </c>
      <c r="I27" s="7">
        <f t="shared" si="4"/>
        <v>9.7756055145962792E-2</v>
      </c>
      <c r="J27" s="5">
        <f t="shared" si="1"/>
        <v>9.7756055145962792E-2</v>
      </c>
      <c r="K27" s="5">
        <f t="shared" si="2"/>
        <v>9.7756055145962792E-2</v>
      </c>
      <c r="L27" s="5">
        <f t="shared" si="5"/>
        <v>9.7756055145962792E-2</v>
      </c>
      <c r="M27" s="7">
        <f t="shared" si="6"/>
        <v>0.23103941993404392</v>
      </c>
      <c r="N27" s="7">
        <f t="shared" si="7"/>
        <v>0.26205777988379242</v>
      </c>
      <c r="O27" s="7">
        <f t="shared" si="8"/>
        <v>2.57108191848984E-3</v>
      </c>
      <c r="P27" s="7">
        <f t="shared" si="9"/>
        <v>2.9162643312173942E-3</v>
      </c>
    </row>
    <row r="28" spans="1:16" x14ac:dyDescent="0.2">
      <c r="A28" s="9">
        <v>2200.0100000000002</v>
      </c>
      <c r="B28" s="9">
        <v>2.6195800000000002E-2</v>
      </c>
      <c r="C28" s="9">
        <v>0.409248</v>
      </c>
      <c r="D28" s="5" t="s">
        <v>738</v>
      </c>
      <c r="E28" s="9">
        <f>E27/10000</f>
        <v>165433123093869.94</v>
      </c>
      <c r="F28" s="5" t="s">
        <v>739</v>
      </c>
      <c r="G28" s="7">
        <f t="shared" si="3"/>
        <v>0.22000100000000003</v>
      </c>
      <c r="H28" s="9">
        <f>dpa_conversion!B28+dpa_conversion!C28</f>
        <v>0.43544379999999999</v>
      </c>
      <c r="I28" s="7">
        <f t="shared" si="4"/>
        <v>0.10070762023945584</v>
      </c>
      <c r="J28" s="5">
        <f t="shared" si="1"/>
        <v>0.10070762023945584</v>
      </c>
      <c r="K28" s="5">
        <f t="shared" si="2"/>
        <v>0.10070762023945584</v>
      </c>
      <c r="L28" s="5">
        <f t="shared" si="5"/>
        <v>0.10070762023945584</v>
      </c>
      <c r="M28" s="7">
        <f t="shared" si="6"/>
        <v>0.22680903053671586</v>
      </c>
      <c r="N28" s="7">
        <f t="shared" si="7"/>
        <v>0.26052078852627286</v>
      </c>
      <c r="O28" s="7">
        <f t="shared" si="8"/>
        <v>2.600212469856786E-3</v>
      </c>
      <c r="P28" s="7">
        <f t="shared" si="9"/>
        <v>2.9866950243556474E-3</v>
      </c>
    </row>
    <row r="29" spans="1:16" x14ac:dyDescent="0.2">
      <c r="A29" s="9">
        <v>2400.0100000000002</v>
      </c>
      <c r="B29" s="9">
        <v>2.6750900000000001E-2</v>
      </c>
      <c r="C29" s="9">
        <v>0.420844</v>
      </c>
      <c r="G29" s="7">
        <f t="shared" si="3"/>
        <v>0.24000100000000002</v>
      </c>
      <c r="H29" s="9">
        <f>dpa_conversion!B29+dpa_conversion!C29</f>
        <v>0.44759490000000002</v>
      </c>
      <c r="I29" s="7">
        <f t="shared" si="4"/>
        <v>0.1035178758092714</v>
      </c>
      <c r="J29" s="5">
        <f t="shared" si="1"/>
        <v>0.1035178758092714</v>
      </c>
      <c r="K29" s="5">
        <f t="shared" si="2"/>
        <v>0.1035178758092714</v>
      </c>
      <c r="L29" s="5">
        <f t="shared" si="5"/>
        <v>0.1035178758092714</v>
      </c>
      <c r="M29" s="7">
        <f t="shared" si="6"/>
        <v>0.22265610062425897</v>
      </c>
      <c r="N29" s="7">
        <f t="shared" si="7"/>
        <v>0.25899281175490346</v>
      </c>
      <c r="O29" s="7">
        <f t="shared" si="8"/>
        <v>2.6238325269037294E-3</v>
      </c>
      <c r="P29" s="7">
        <f t="shared" si="9"/>
        <v>3.0520329863476066E-3</v>
      </c>
    </row>
    <row r="30" spans="1:16" x14ac:dyDescent="0.2">
      <c r="A30" s="9">
        <v>2600.0100000000002</v>
      </c>
      <c r="B30" s="9">
        <v>2.7263200000000001E-2</v>
      </c>
      <c r="C30" s="9">
        <v>0.42651099999999997</v>
      </c>
      <c r="D30" s="8" t="s">
        <v>740</v>
      </c>
      <c r="G30" s="7">
        <f t="shared" si="3"/>
        <v>0.26000100000000004</v>
      </c>
      <c r="H30" s="9">
        <f>dpa_conversion!B30+dpa_conversion!C30</f>
        <v>0.45377419999999996</v>
      </c>
      <c r="I30" s="7">
        <f t="shared" si="4"/>
        <v>0.10494699846010638</v>
      </c>
      <c r="J30" s="5">
        <f t="shared" si="1"/>
        <v>0.10494699846010638</v>
      </c>
      <c r="K30" s="5">
        <f t="shared" si="2"/>
        <v>0.10494699846010638</v>
      </c>
      <c r="L30" s="5">
        <f t="shared" si="5"/>
        <v>0.10494699846010638</v>
      </c>
      <c r="M30" s="7">
        <f t="shared" si="6"/>
        <v>0.21857921189418786</v>
      </c>
      <c r="N30" s="7">
        <f t="shared" si="7"/>
        <v>0.25747379669836318</v>
      </c>
      <c r="O30" s="7">
        <f t="shared" si="8"/>
        <v>2.6113497255451294E-3</v>
      </c>
      <c r="P30" s="7">
        <f t="shared" si="9"/>
        <v>3.076020461949572E-3</v>
      </c>
    </row>
    <row r="31" spans="1:16" x14ac:dyDescent="0.2">
      <c r="A31" s="9">
        <v>2800.01</v>
      </c>
      <c r="B31" s="9">
        <v>2.78698E-2</v>
      </c>
      <c r="C31" s="9">
        <v>0.43447799999999998</v>
      </c>
      <c r="D31" s="5" t="s">
        <v>741</v>
      </c>
      <c r="E31" s="12">
        <v>6.05</v>
      </c>
      <c r="F31" s="5" t="s">
        <v>742</v>
      </c>
      <c r="G31" s="7">
        <f t="shared" si="3"/>
        <v>0.280001</v>
      </c>
      <c r="H31" s="9">
        <f>dpa_conversion!B31+dpa_conversion!C31</f>
        <v>0.46234779999999998</v>
      </c>
      <c r="I31" s="7">
        <f t="shared" si="4"/>
        <v>0.10692986479758783</v>
      </c>
      <c r="J31" s="5">
        <f t="shared" si="1"/>
        <v>0.10692986479758783</v>
      </c>
      <c r="K31" s="5">
        <f t="shared" si="2"/>
        <v>0.10692986479758783</v>
      </c>
      <c r="L31" s="5">
        <f t="shared" si="5"/>
        <v>0.10692986479758783</v>
      </c>
      <c r="M31" s="7">
        <f t="shared" si="6"/>
        <v>0.21457697201348933</v>
      </c>
      <c r="N31" s="7">
        <f t="shared" si="7"/>
        <v>0.25596369079542597</v>
      </c>
      <c r="O31" s="7">
        <f t="shared" si="8"/>
        <v>2.611970641055247E-3</v>
      </c>
      <c r="P31" s="7">
        <f t="shared" si="9"/>
        <v>3.1157567340999032E-3</v>
      </c>
    </row>
    <row r="32" spans="1:16" x14ac:dyDescent="0.2">
      <c r="A32" s="9">
        <v>3000.01</v>
      </c>
      <c r="B32" s="9">
        <v>2.85277E-2</v>
      </c>
      <c r="C32" s="9">
        <v>0.451434</v>
      </c>
      <c r="D32" s="5" t="s">
        <v>743</v>
      </c>
      <c r="E32" s="10">
        <v>50.942</v>
      </c>
      <c r="F32" s="5" t="s">
        <v>744</v>
      </c>
      <c r="G32" s="7">
        <f t="shared" si="3"/>
        <v>0.30000100000000002</v>
      </c>
      <c r="H32" s="9">
        <f>dpa_conversion!B32+dpa_conversion!C32</f>
        <v>0.47996169999999999</v>
      </c>
      <c r="I32" s="7">
        <f t="shared" si="4"/>
        <v>0.11100353389595541</v>
      </c>
      <c r="J32" s="5">
        <f t="shared" si="1"/>
        <v>0.11100353389595541</v>
      </c>
      <c r="K32" s="5">
        <f t="shared" si="2"/>
        <v>0.11100353389595541</v>
      </c>
      <c r="L32" s="5">
        <f t="shared" si="5"/>
        <v>0.11100353389595541</v>
      </c>
      <c r="M32" s="7">
        <f t="shared" si="6"/>
        <v>0.21064801414311482</v>
      </c>
      <c r="N32" s="7">
        <f t="shared" si="7"/>
        <v>0.25446244179314165</v>
      </c>
      <c r="O32" s="7">
        <f t="shared" si="8"/>
        <v>2.6618301216568621E-3</v>
      </c>
      <c r="P32" s="7">
        <f t="shared" si="9"/>
        <v>3.2154862468115023E-3</v>
      </c>
    </row>
    <row r="33" spans="1:16" x14ac:dyDescent="0.2">
      <c r="A33" s="9">
        <v>3200.01</v>
      </c>
      <c r="B33" s="9">
        <v>2.91767E-2</v>
      </c>
      <c r="C33" s="9">
        <v>0.46461000000000002</v>
      </c>
      <c r="D33" s="5" t="s">
        <v>745</v>
      </c>
      <c r="E33" s="9">
        <v>6.0229999999999998E+23</v>
      </c>
      <c r="G33" s="7">
        <f t="shared" si="3"/>
        <v>0.32000100000000004</v>
      </c>
      <c r="H33" s="9">
        <f>dpa_conversion!B33+dpa_conversion!C33</f>
        <v>0.49378670000000002</v>
      </c>
      <c r="I33" s="7">
        <f t="shared" si="4"/>
        <v>0.11420092205445136</v>
      </c>
      <c r="J33" s="5">
        <f t="shared" si="1"/>
        <v>0.11420092205445136</v>
      </c>
      <c r="K33" s="5">
        <f t="shared" si="2"/>
        <v>0.11420092205445136</v>
      </c>
      <c r="L33" s="5">
        <f t="shared" si="5"/>
        <v>0.11420092205445136</v>
      </c>
      <c r="M33" s="7">
        <f t="shared" si="6"/>
        <v>0.20679099647117968</v>
      </c>
      <c r="N33" s="7">
        <f t="shared" si="7"/>
        <v>0.25296999774502821</v>
      </c>
      <c r="O33" s="7">
        <f t="shared" si="8"/>
        <v>2.6883598288711796E-3</v>
      </c>
      <c r="P33" s="7">
        <f t="shared" si="9"/>
        <v>3.2887040125180113E-3</v>
      </c>
    </row>
    <row r="34" spans="1:16" x14ac:dyDescent="0.2">
      <c r="A34" s="9">
        <v>3400.01</v>
      </c>
      <c r="B34" s="9">
        <v>2.9928400000000001E-2</v>
      </c>
      <c r="C34" s="9">
        <v>0.48885099999999998</v>
      </c>
      <c r="D34" s="5" t="s">
        <v>746</v>
      </c>
      <c r="E34" s="9">
        <f>E31*E33/E32</f>
        <v>7.1530662321856222E+22</v>
      </c>
      <c r="F34" s="5" t="s">
        <v>747</v>
      </c>
      <c r="G34" s="7">
        <f t="shared" si="3"/>
        <v>0.340001</v>
      </c>
      <c r="H34" s="9">
        <f>dpa_conversion!B34+dpa_conversion!C34</f>
        <v>0.5187794</v>
      </c>
      <c r="I34" s="7">
        <f t="shared" si="4"/>
        <v>0.11998112914514514</v>
      </c>
      <c r="J34" s="5">
        <f t="shared" si="1"/>
        <v>0.11998112914514514</v>
      </c>
      <c r="K34" s="5">
        <f t="shared" si="2"/>
        <v>0.11998112914514514</v>
      </c>
      <c r="L34" s="5">
        <f t="shared" si="5"/>
        <v>0.11998112914514514</v>
      </c>
      <c r="M34" s="7">
        <f t="shared" si="6"/>
        <v>0.20300460175470961</v>
      </c>
      <c r="N34" s="7">
        <f t="shared" si="7"/>
        <v>0.25148630700927416</v>
      </c>
      <c r="O34" s="7">
        <f t="shared" si="8"/>
        <v>2.7727134453903791E-3</v>
      </c>
      <c r="P34" s="7">
        <f t="shared" si="9"/>
        <v>3.4348948681406444E-3</v>
      </c>
    </row>
    <row r="35" spans="1:16" x14ac:dyDescent="0.2">
      <c r="A35" s="9">
        <v>3600.01</v>
      </c>
      <c r="B35" s="9">
        <v>3.0637000000000001E-2</v>
      </c>
      <c r="C35" s="9">
        <v>0.50200299999999998</v>
      </c>
      <c r="G35" s="7">
        <f t="shared" si="3"/>
        <v>0.36000100000000002</v>
      </c>
      <c r="H35" s="9">
        <f>dpa_conversion!B35+dpa_conversion!C35</f>
        <v>0.53264</v>
      </c>
      <c r="I35" s="7">
        <f t="shared" si="4"/>
        <v>0.12318675072269661</v>
      </c>
      <c r="J35" s="5">
        <f t="shared" si="1"/>
        <v>0.12318675072269661</v>
      </c>
      <c r="K35" s="5">
        <f t="shared" si="2"/>
        <v>0.12318675072269661</v>
      </c>
      <c r="L35" s="5">
        <f t="shared" si="5"/>
        <v>0.12318675072269661</v>
      </c>
      <c r="M35" s="7">
        <f t="shared" si="6"/>
        <v>0.19928753686977746</v>
      </c>
      <c r="N35" s="7">
        <f t="shared" si="7"/>
        <v>0.25001131824695161</v>
      </c>
      <c r="O35" s="7">
        <f t="shared" si="8"/>
        <v>2.7946685038440756E-3</v>
      </c>
      <c r="P35" s="7">
        <f t="shared" si="9"/>
        <v>3.5059832023808459E-3</v>
      </c>
    </row>
    <row r="36" spans="1:16" x14ac:dyDescent="0.2">
      <c r="A36" s="9">
        <v>3800.01</v>
      </c>
      <c r="B36" s="9">
        <v>3.1355899999999999E-2</v>
      </c>
      <c r="C36" s="9">
        <v>0.50841099999999995</v>
      </c>
      <c r="D36" s="8" t="s">
        <v>748</v>
      </c>
      <c r="G36" s="7">
        <f t="shared" si="3"/>
        <v>0.38000100000000003</v>
      </c>
      <c r="H36" s="9">
        <f>dpa_conversion!B36+dpa_conversion!C36</f>
        <v>0.53976689999999994</v>
      </c>
      <c r="I36" s="7">
        <f t="shared" si="4"/>
        <v>0.12483503033693057</v>
      </c>
      <c r="J36" s="5">
        <f t="shared" si="1"/>
        <v>0.12483503033693057</v>
      </c>
      <c r="K36" s="5">
        <f t="shared" si="2"/>
        <v>0.12483503033693057</v>
      </c>
      <c r="L36" s="5">
        <f t="shared" si="5"/>
        <v>0.12483503033693057</v>
      </c>
      <c r="M36" s="7">
        <f t="shared" si="6"/>
        <v>0.19563853236987783</v>
      </c>
      <c r="N36" s="7">
        <f t="shared" si="7"/>
        <v>0.24854498042024012</v>
      </c>
      <c r="O36" s="7">
        <f t="shared" si="8"/>
        <v>2.7802063328043226E-3</v>
      </c>
      <c r="P36" s="7">
        <f t="shared" si="9"/>
        <v>3.5320563908374076E-3</v>
      </c>
    </row>
    <row r="37" spans="1:16" x14ac:dyDescent="0.2">
      <c r="A37" s="9">
        <v>4000.01</v>
      </c>
      <c r="B37" s="9">
        <v>3.1986500000000001E-2</v>
      </c>
      <c r="C37" s="9">
        <v>0.54385799999999995</v>
      </c>
      <c r="D37" s="5" t="s">
        <v>749</v>
      </c>
      <c r="E37" s="13">
        <v>3.4</v>
      </c>
      <c r="F37" s="5" t="s">
        <v>750</v>
      </c>
      <c r="G37" s="7">
        <f t="shared" si="3"/>
        <v>0.400001</v>
      </c>
      <c r="H37" s="9">
        <f>dpa_conversion!B37+dpa_conversion!C37</f>
        <v>0.57584449999999998</v>
      </c>
      <c r="I37" s="7">
        <f t="shared" si="4"/>
        <v>0.13317890672224367</v>
      </c>
      <c r="J37" s="5">
        <f t="shared" si="1"/>
        <v>0.13317890672224367</v>
      </c>
      <c r="K37" s="5">
        <f t="shared" si="2"/>
        <v>0.13317890672224367</v>
      </c>
      <c r="L37" s="5">
        <f t="shared" si="5"/>
        <v>0.13317890672224367</v>
      </c>
      <c r="M37" s="7">
        <f t="shared" si="6"/>
        <v>0.19205634205238734</v>
      </c>
      <c r="N37" s="7">
        <f t="shared" si="7"/>
        <v>0.24708724279066019</v>
      </c>
      <c r="O37" s="7">
        <f t="shared" si="8"/>
        <v>2.911724355949984E-3</v>
      </c>
      <c r="P37" s="7">
        <f t="shared" si="9"/>
        <v>3.7460358517181764E-3</v>
      </c>
    </row>
    <row r="38" spans="1:16" x14ac:dyDescent="0.2">
      <c r="A38" s="9">
        <v>4200.01</v>
      </c>
      <c r="B38" s="9">
        <v>3.2741399999999997E-2</v>
      </c>
      <c r="C38" s="9">
        <v>0.54276500000000005</v>
      </c>
      <c r="D38" s="5" t="s">
        <v>751</v>
      </c>
      <c r="E38" s="7">
        <f>E37/PI()</f>
        <v>1.0822536130248883</v>
      </c>
      <c r="F38" s="5" t="s">
        <v>750</v>
      </c>
      <c r="G38" s="7">
        <f t="shared" si="3"/>
        <v>0.42000100000000001</v>
      </c>
      <c r="H38" s="9">
        <f>dpa_conversion!B38+dpa_conversion!C38</f>
        <v>0.57550640000000008</v>
      </c>
      <c r="I38" s="7">
        <f t="shared" si="4"/>
        <v>0.13310071236879795</v>
      </c>
      <c r="J38" s="5">
        <f t="shared" si="1"/>
        <v>0.13310071236879795</v>
      </c>
      <c r="K38" s="5">
        <f t="shared" si="2"/>
        <v>0.13310071236879795</v>
      </c>
      <c r="L38" s="5">
        <f t="shared" si="5"/>
        <v>0.13310071236879795</v>
      </c>
      <c r="M38" s="7">
        <f t="shared" si="6"/>
        <v>0.18853974253296346</v>
      </c>
      <c r="N38" s="7">
        <f t="shared" si="7"/>
        <v>0.24563805491731788</v>
      </c>
      <c r="O38" s="7">
        <f t="shared" si="8"/>
        <v>2.8567316766731528E-3</v>
      </c>
      <c r="P38" s="7">
        <f t="shared" si="9"/>
        <v>3.7218784912469876E-3</v>
      </c>
    </row>
    <row r="39" spans="1:16" x14ac:dyDescent="0.2">
      <c r="A39" s="9">
        <v>4400.01</v>
      </c>
      <c r="B39" s="9">
        <v>3.3587199999999998E-2</v>
      </c>
      <c r="C39" s="9">
        <v>0.56906599999999996</v>
      </c>
      <c r="D39" s="5" t="s">
        <v>752</v>
      </c>
      <c r="E39" s="7">
        <f>E37</f>
        <v>3.4</v>
      </c>
      <c r="F39" s="5" t="s">
        <v>750</v>
      </c>
      <c r="G39" s="7">
        <f t="shared" si="3"/>
        <v>0.44000100000000003</v>
      </c>
      <c r="H39" s="9">
        <f>dpa_conversion!B39+dpa_conversion!C39</f>
        <v>0.6026532</v>
      </c>
      <c r="I39" s="7">
        <f t="shared" si="4"/>
        <v>0.13937911069509504</v>
      </c>
      <c r="J39" s="5">
        <f t="shared" si="1"/>
        <v>0.13937911069509504</v>
      </c>
      <c r="K39" s="5">
        <f t="shared" si="2"/>
        <v>0.13937911069509504</v>
      </c>
      <c r="L39" s="5">
        <f t="shared" si="5"/>
        <v>0.13937911069509504</v>
      </c>
      <c r="M39" s="7">
        <f t="shared" si="6"/>
        <v>0.1850875328277361</v>
      </c>
      <c r="N39" s="7">
        <f t="shared" si="7"/>
        <v>0.24419736665515962</v>
      </c>
      <c r="O39" s="7">
        <f t="shared" si="8"/>
        <v>2.9367096919352487E-3</v>
      </c>
      <c r="P39" s="7">
        <f t="shared" si="9"/>
        <v>3.8745817313839462E-3</v>
      </c>
    </row>
    <row r="40" spans="1:16" x14ac:dyDescent="0.2">
      <c r="A40" s="9">
        <v>4600.01</v>
      </c>
      <c r="B40" s="9">
        <v>3.4517399999999997E-2</v>
      </c>
      <c r="C40" s="9">
        <v>0.59160100000000004</v>
      </c>
      <c r="G40" s="7">
        <f t="shared" si="3"/>
        <v>0.46000100000000005</v>
      </c>
      <c r="H40" s="9">
        <f>dpa_conversion!B40+dpa_conversion!C40</f>
        <v>0.62611840000000007</v>
      </c>
      <c r="I40" s="7">
        <f t="shared" si="4"/>
        <v>0.14480604397659516</v>
      </c>
      <c r="J40" s="5">
        <f t="shared" si="1"/>
        <v>0.14480604397659516</v>
      </c>
      <c r="K40" s="5">
        <f t="shared" si="2"/>
        <v>0.14480604397659516</v>
      </c>
      <c r="L40" s="5">
        <f t="shared" si="5"/>
        <v>0.14480604397659516</v>
      </c>
      <c r="M40" s="7">
        <f t="shared" si="6"/>
        <v>0.18169853394314928</v>
      </c>
      <c r="N40" s="7">
        <f t="shared" si="7"/>
        <v>0.24276512815323661</v>
      </c>
      <c r="O40" s="7">
        <f t="shared" si="8"/>
        <v>2.995189282703631E-3</v>
      </c>
      <c r="P40" s="7">
        <f t="shared" si="9"/>
        <v>4.0018347659659991E-3</v>
      </c>
    </row>
    <row r="41" spans="1:16" x14ac:dyDescent="0.2">
      <c r="A41" s="9">
        <v>4800.01</v>
      </c>
      <c r="B41" s="9">
        <v>3.542E-2</v>
      </c>
      <c r="C41" s="9">
        <v>0.61719299999999999</v>
      </c>
      <c r="G41" s="7">
        <f t="shared" si="3"/>
        <v>0.48000100000000001</v>
      </c>
      <c r="H41" s="9">
        <f>dpa_conversion!B41+dpa_conversion!C41</f>
        <v>0.652613</v>
      </c>
      <c r="I41" s="7">
        <f t="shared" si="4"/>
        <v>0.15093360421558874</v>
      </c>
      <c r="J41" s="5">
        <f t="shared" si="1"/>
        <v>0.15093360421558874</v>
      </c>
      <c r="K41" s="5">
        <f t="shared" si="2"/>
        <v>0.15093360421558874</v>
      </c>
      <c r="L41" s="5">
        <f t="shared" si="5"/>
        <v>0.15093360421558874</v>
      </c>
      <c r="M41" s="7">
        <f t="shared" si="6"/>
        <v>0.17837158847331308</v>
      </c>
      <c r="N41" s="7">
        <f t="shared" si="7"/>
        <v>0.2413412898529804</v>
      </c>
      <c r="O41" s="7">
        <f t="shared" si="8"/>
        <v>3.0647692652084916E-3</v>
      </c>
      <c r="P41" s="7">
        <f t="shared" si="9"/>
        <v>4.1467106611423775E-3</v>
      </c>
    </row>
    <row r="42" spans="1:16" ht="16" thickBot="1" x14ac:dyDescent="0.25">
      <c r="A42" s="9">
        <v>5000.01</v>
      </c>
      <c r="B42" s="9">
        <v>3.6347900000000002E-2</v>
      </c>
      <c r="C42" s="9">
        <v>0.64149</v>
      </c>
      <c r="D42" s="8" t="s">
        <v>753</v>
      </c>
      <c r="G42" s="7">
        <f t="shared" si="3"/>
        <v>0.50000100000000003</v>
      </c>
      <c r="H42" s="9">
        <f>dpa_conversion!B42+dpa_conversion!C42</f>
        <v>0.67783789999999999</v>
      </c>
      <c r="I42" s="7">
        <f t="shared" si="4"/>
        <v>0.15676751355079632</v>
      </c>
      <c r="J42" s="5">
        <f t="shared" si="1"/>
        <v>0.15676751355079632</v>
      </c>
      <c r="K42" s="5">
        <f t="shared" si="2"/>
        <v>0.15676751355079632</v>
      </c>
      <c r="L42" s="5">
        <f t="shared" si="5"/>
        <v>0.15676751355079632</v>
      </c>
      <c r="M42" s="7">
        <f t="shared" si="6"/>
        <v>0.17510556020472809</v>
      </c>
      <c r="N42" s="7">
        <f t="shared" si="7"/>
        <v>0.23992580248648759</v>
      </c>
      <c r="O42" s="7">
        <f t="shared" si="8"/>
        <v>3.1249434867317767E-3</v>
      </c>
      <c r="P42" s="7">
        <f t="shared" si="9"/>
        <v>4.281729106160044E-3</v>
      </c>
    </row>
    <row r="43" spans="1:16" x14ac:dyDescent="0.2">
      <c r="A43" s="9">
        <v>5200.01</v>
      </c>
      <c r="B43" s="9">
        <v>3.7144299999999998E-2</v>
      </c>
      <c r="C43" s="9">
        <v>0.65418100000000001</v>
      </c>
      <c r="D43" s="14" t="s">
        <v>754</v>
      </c>
      <c r="E43" s="15">
        <f>AVERAGEIF(J18:J117,"&gt;-1")</f>
        <v>0.17710649258173225</v>
      </c>
      <c r="F43" s="16" t="s">
        <v>755</v>
      </c>
      <c r="G43" s="7">
        <f t="shared" si="3"/>
        <v>0.52000100000000005</v>
      </c>
      <c r="H43" s="9">
        <f>dpa_conversion!B43+dpa_conversion!C43</f>
        <v>0.69132530000000003</v>
      </c>
      <c r="I43" s="7">
        <f t="shared" si="4"/>
        <v>0.15988682299375459</v>
      </c>
      <c r="J43" s="5">
        <f t="shared" si="1"/>
        <v>0.15988682299375459</v>
      </c>
      <c r="K43" s="5">
        <f t="shared" si="2"/>
        <v>0.15988682299375459</v>
      </c>
      <c r="L43" s="5">
        <f t="shared" si="5"/>
        <v>0.15988682299375459</v>
      </c>
      <c r="M43" s="7">
        <f t="shared" si="6"/>
        <v>0.17189933372824739</v>
      </c>
      <c r="N43" s="7">
        <f t="shared" si="7"/>
        <v>0.23851861707481536</v>
      </c>
      <c r="O43" s="7">
        <f t="shared" si="8"/>
        <v>3.1287655950309424E-3</v>
      </c>
      <c r="P43" s="7">
        <f t="shared" si="9"/>
        <v>4.3413131784315433E-3</v>
      </c>
    </row>
    <row r="44" spans="1:16" ht="16" x14ac:dyDescent="0.2">
      <c r="A44" s="9">
        <v>5400.01</v>
      </c>
      <c r="B44" s="9">
        <v>3.8123700000000003E-2</v>
      </c>
      <c r="C44" s="9">
        <v>0.68017000000000005</v>
      </c>
      <c r="D44" s="17" t="s">
        <v>756</v>
      </c>
      <c r="E44" s="7">
        <f>AVERAGEIF(K18:K117,"&gt;-1")</f>
        <v>0.13056888261016286</v>
      </c>
      <c r="F44" s="18" t="s">
        <v>755</v>
      </c>
      <c r="G44" s="7">
        <f t="shared" si="3"/>
        <v>0.54000100000000006</v>
      </c>
      <c r="H44" s="9">
        <f>dpa_conversion!B44+dpa_conversion!C44</f>
        <v>0.71829370000000003</v>
      </c>
      <c r="I44" s="7">
        <f t="shared" si="4"/>
        <v>0.16612396171444771</v>
      </c>
      <c r="J44" s="5">
        <f t="shared" si="1"/>
        <v>0.16612396171444771</v>
      </c>
      <c r="K44" s="5">
        <f t="shared" si="2"/>
        <v>0.16612396171444771</v>
      </c>
      <c r="L44" s="5">
        <f t="shared" si="5"/>
        <v>0.16612396171444771</v>
      </c>
      <c r="M44" s="7">
        <f t="shared" si="6"/>
        <v>0.16875181405814377</v>
      </c>
      <c r="N44" s="7">
        <f t="shared" si="7"/>
        <v>0.23711968492628657</v>
      </c>
      <c r="O44" s="7">
        <f t="shared" si="8"/>
        <v>3.1912945506662E-3</v>
      </c>
      <c r="P44" s="7">
        <f t="shared" si="9"/>
        <v>4.4842111036519925E-3</v>
      </c>
    </row>
    <row r="45" spans="1:16" x14ac:dyDescent="0.2">
      <c r="A45" s="9">
        <v>5600.01</v>
      </c>
      <c r="B45" s="9">
        <v>3.9001899999999999E-2</v>
      </c>
      <c r="C45" s="9">
        <v>0.71461399999999997</v>
      </c>
      <c r="D45" s="19" t="s">
        <v>757</v>
      </c>
      <c r="E45" s="5">
        <f>(1/$E$38)*SUMIF(J18:J117,"&gt;-1",O18:O117)</f>
        <v>0.1557293726747577</v>
      </c>
      <c r="F45" s="18" t="s">
        <v>755</v>
      </c>
      <c r="G45" s="7">
        <f t="shared" si="3"/>
        <v>0.56000099999999997</v>
      </c>
      <c r="H45" s="9">
        <f>dpa_conversion!B45+dpa_conversion!C45</f>
        <v>0.75361590000000001</v>
      </c>
      <c r="I45" s="7">
        <f t="shared" si="4"/>
        <v>0.17429313234822894</v>
      </c>
      <c r="J45" s="5">
        <f t="shared" si="1"/>
        <v>0.17429313234822894</v>
      </c>
      <c r="K45" s="5">
        <f t="shared" si="2"/>
        <v>0.17429313234822894</v>
      </c>
      <c r="L45" s="5">
        <f t="shared" si="5"/>
        <v>0.17429313234822894</v>
      </c>
      <c r="M45" s="7">
        <f t="shared" si="6"/>
        <v>0.16566192625815171</v>
      </c>
      <c r="N45" s="7">
        <f t="shared" si="7"/>
        <v>0.23572895763480495</v>
      </c>
      <c r="O45" s="7">
        <f t="shared" si="8"/>
        <v>3.2869200667066186E-3</v>
      </c>
      <c r="P45" s="7">
        <f t="shared" si="9"/>
        <v>4.6771292514507278E-3</v>
      </c>
    </row>
    <row r="46" spans="1:16" x14ac:dyDescent="0.2">
      <c r="A46" s="9">
        <v>5800.01</v>
      </c>
      <c r="B46" s="9">
        <v>3.9804800000000001E-2</v>
      </c>
      <c r="C46" s="9">
        <v>0.73443099999999994</v>
      </c>
      <c r="D46" s="19" t="s">
        <v>758</v>
      </c>
      <c r="E46" s="5">
        <f>(1/$E$39)*SUMIF(K18:K117,"&gt;-1",P18:P117)</f>
        <v>9.5659332959041873E-2</v>
      </c>
      <c r="F46" s="18" t="s">
        <v>755</v>
      </c>
      <c r="G46" s="7">
        <f t="shared" si="3"/>
        <v>0.58000099999999999</v>
      </c>
      <c r="H46" s="9">
        <f>dpa_conversion!B46+dpa_conversion!C46</f>
        <v>0.77423579999999992</v>
      </c>
      <c r="I46" s="7">
        <f t="shared" si="4"/>
        <v>0.17906201654999171</v>
      </c>
      <c r="J46" s="5">
        <f t="shared" si="1"/>
        <v>0.17906201654999171</v>
      </c>
      <c r="K46" s="5">
        <f t="shared" si="2"/>
        <v>0.17906201654999171</v>
      </c>
      <c r="L46" s="5">
        <f t="shared" si="5"/>
        <v>0.17906201654999171</v>
      </c>
      <c r="M46" s="7">
        <f t="shared" si="6"/>
        <v>0.1626286150743568</v>
      </c>
      <c r="N46" s="7">
        <f t="shared" si="7"/>
        <v>0.23434638707818015</v>
      </c>
      <c r="O46" s="7">
        <f t="shared" si="8"/>
        <v>3.3150233792674732E-3</v>
      </c>
      <c r="P46" s="7">
        <f t="shared" si="9"/>
        <v>4.7769191888883495E-3</v>
      </c>
    </row>
    <row r="47" spans="1:16" ht="16" thickBot="1" x14ac:dyDescent="0.25">
      <c r="A47" s="9">
        <v>6000.01</v>
      </c>
      <c r="B47" s="9">
        <v>4.0626299999999997E-2</v>
      </c>
      <c r="C47" s="9">
        <v>0.76517800000000002</v>
      </c>
      <c r="D47" s="20" t="s">
        <v>759</v>
      </c>
      <c r="E47" s="21">
        <f>AVERAGEIF(L20:L119,"&gt;-1")</f>
        <v>0.15899861912885049</v>
      </c>
      <c r="F47" s="22" t="s">
        <v>755</v>
      </c>
      <c r="G47" s="7">
        <f t="shared" si="3"/>
        <v>0.60000100000000001</v>
      </c>
      <c r="H47" s="9">
        <f>dpa_conversion!B47+dpa_conversion!C47</f>
        <v>0.80580430000000003</v>
      </c>
      <c r="I47" s="7">
        <f t="shared" si="4"/>
        <v>0.18636304715263036</v>
      </c>
      <c r="J47" s="5">
        <f t="shared" si="1"/>
        <v>0.18636304715263036</v>
      </c>
      <c r="K47" s="5">
        <f t="shared" si="2"/>
        <v>0.18636304715263036</v>
      </c>
      <c r="L47" s="5">
        <f t="shared" si="5"/>
        <v>0.18636304715263036</v>
      </c>
      <c r="M47" s="7">
        <f t="shared" si="6"/>
        <v>0.15965084457480694</v>
      </c>
      <c r="N47" s="7">
        <f t="shared" si="7"/>
        <v>0.23297192541646253</v>
      </c>
      <c r="O47" s="7">
        <f t="shared" si="8"/>
        <v>3.3870154998275658E-3</v>
      </c>
      <c r="P47" s="7">
        <f t="shared" si="9"/>
        <v>4.9425327157633318E-3</v>
      </c>
    </row>
    <row r="48" spans="1:16" x14ac:dyDescent="0.2">
      <c r="A48" s="9">
        <v>6200.01</v>
      </c>
      <c r="B48" s="9">
        <v>4.1408500000000001E-2</v>
      </c>
      <c r="C48" s="9">
        <v>0.78529599999999999</v>
      </c>
      <c r="G48" s="7">
        <f t="shared" si="3"/>
        <v>0.62000100000000002</v>
      </c>
      <c r="H48" s="9">
        <f>dpa_conversion!B48+dpa_conversion!C48</f>
        <v>0.82670449999999995</v>
      </c>
      <c r="I48" s="7">
        <f t="shared" si="4"/>
        <v>0.19119675796566449</v>
      </c>
      <c r="J48" s="5">
        <f t="shared" si="1"/>
        <v>0.19119675796566449</v>
      </c>
      <c r="K48" s="5">
        <f t="shared" si="2"/>
        <v>0.19119675796566449</v>
      </c>
      <c r="L48" s="5">
        <f t="shared" si="5"/>
        <v>0.19119675796566449</v>
      </c>
      <c r="M48" s="7">
        <f t="shared" si="6"/>
        <v>0.15672759779572254</v>
      </c>
      <c r="N48" s="7">
        <f t="shared" si="7"/>
        <v>0.23160552509028795</v>
      </c>
      <c r="O48" s="7">
        <f t="shared" si="8"/>
        <v>3.4112391071702687E-3</v>
      </c>
      <c r="P48" s="7">
        <f t="shared" si="9"/>
        <v>5.0409872653982444E-3</v>
      </c>
    </row>
    <row r="49" spans="1:18" x14ac:dyDescent="0.2">
      <c r="A49" s="9">
        <v>6400.01</v>
      </c>
      <c r="B49" s="9">
        <v>4.2267300000000001E-2</v>
      </c>
      <c r="C49" s="9">
        <v>0.80192300000000005</v>
      </c>
      <c r="G49" s="7">
        <f t="shared" si="3"/>
        <v>0.64000100000000004</v>
      </c>
      <c r="H49" s="9">
        <f>dpa_conversion!B49+dpa_conversion!C49</f>
        <v>0.84419030000000006</v>
      </c>
      <c r="I49" s="7">
        <f t="shared" si="4"/>
        <v>0.19524080063198121</v>
      </c>
      <c r="J49" s="5">
        <f t="shared" si="1"/>
        <v>0.19524080063198121</v>
      </c>
      <c r="K49" s="5">
        <f t="shared" si="2"/>
        <v>0.19524080063198121</v>
      </c>
      <c r="L49" s="5">
        <f t="shared" si="5"/>
        <v>0.19524080063198121</v>
      </c>
      <c r="M49" s="7">
        <f t="shared" si="6"/>
        <v>0.15385787639418422</v>
      </c>
      <c r="N49" s="7">
        <f t="shared" si="7"/>
        <v>0.23024713881923192</v>
      </c>
      <c r="O49" s="7">
        <f t="shared" si="8"/>
        <v>3.4196091830517388E-3</v>
      </c>
      <c r="P49" s="7">
        <f t="shared" si="9"/>
        <v>5.1174190670643868E-3</v>
      </c>
    </row>
    <row r="50" spans="1:18" x14ac:dyDescent="0.2">
      <c r="A50" s="9">
        <v>6600.01</v>
      </c>
      <c r="B50" s="9">
        <v>4.2995100000000001E-2</v>
      </c>
      <c r="C50" s="9">
        <v>0.85526999999999997</v>
      </c>
      <c r="G50" s="7">
        <f t="shared" si="3"/>
        <v>0.66000100000000006</v>
      </c>
      <c r="H50" s="9">
        <f>dpa_conversion!B50+dpa_conversion!C50</f>
        <v>0.89826509999999993</v>
      </c>
      <c r="I50" s="7">
        <f t="shared" si="4"/>
        <v>0.20774699413599829</v>
      </c>
      <c r="J50" s="5">
        <f t="shared" si="1"/>
        <v>0.20774699413599829</v>
      </c>
      <c r="K50" s="5">
        <f t="shared" si="2"/>
        <v>0.20774699413599829</v>
      </c>
      <c r="L50" s="5">
        <f t="shared" si="5"/>
        <v>0.20774699413599829</v>
      </c>
      <c r="M50" s="7">
        <f t="shared" si="6"/>
        <v>0.15104070030718064</v>
      </c>
      <c r="N50" s="7">
        <f t="shared" si="7"/>
        <v>0.22889671960017383</v>
      </c>
      <c r="O50" s="7">
        <f t="shared" si="8"/>
        <v>3.5720283760311985E-3</v>
      </c>
      <c r="P50" s="7">
        <f t="shared" si="9"/>
        <v>5.4132798373512751E-3</v>
      </c>
      <c r="Q50" s="5" t="s">
        <v>760</v>
      </c>
    </row>
    <row r="51" spans="1:18" x14ac:dyDescent="0.2">
      <c r="A51" s="9">
        <v>6800.01</v>
      </c>
      <c r="B51" s="9">
        <v>4.3432699999999998E-2</v>
      </c>
      <c r="C51" s="9">
        <v>0.86311000000000004</v>
      </c>
      <c r="G51" s="7">
        <f t="shared" si="3"/>
        <v>0.68000099999999997</v>
      </c>
      <c r="H51" s="9">
        <f>dpa_conversion!B51+dpa_conversion!C51</f>
        <v>0.90654270000000003</v>
      </c>
      <c r="I51" s="7">
        <f t="shared" si="4"/>
        <v>0.20966140283189461</v>
      </c>
      <c r="J51" s="5">
        <f t="shared" si="1"/>
        <v>0.20966140283189461</v>
      </c>
      <c r="K51" s="5">
        <f t="shared" si="2"/>
        <v>0.20966140283189461</v>
      </c>
      <c r="L51" s="5">
        <f t="shared" si="5"/>
        <v>0.20966140283189461</v>
      </c>
      <c r="M51" s="7">
        <f t="shared" si="6"/>
        <v>0.14827510741689851</v>
      </c>
      <c r="N51" s="7">
        <f t="shared" si="7"/>
        <v>0.22755422070567025</v>
      </c>
      <c r="O51" s="7">
        <f t="shared" si="8"/>
        <v>3.5389375225739267E-3</v>
      </c>
      <c r="P51" s="7">
        <f t="shared" si="9"/>
        <v>5.4311218120458929E-3</v>
      </c>
      <c r="Q51" s="5" t="s">
        <v>709</v>
      </c>
    </row>
    <row r="52" spans="1:18" x14ac:dyDescent="0.2">
      <c r="A52" s="9">
        <v>7000.01</v>
      </c>
      <c r="B52" s="9">
        <v>4.3803799999999997E-2</v>
      </c>
      <c r="C52" s="9">
        <v>0.90200000000000002</v>
      </c>
      <c r="G52" s="7">
        <f t="shared" si="3"/>
        <v>0.70000099999999998</v>
      </c>
      <c r="H52" s="9">
        <f>dpa_conversion!B52+dpa_conversion!C52</f>
        <v>0.94580379999999997</v>
      </c>
      <c r="I52" s="7">
        <f t="shared" si="4"/>
        <v>0.21874154577797236</v>
      </c>
      <c r="J52" s="5">
        <f t="shared" si="1"/>
        <v>0.21874154577797236</v>
      </c>
      <c r="K52" s="5">
        <f t="shared" si="2"/>
        <v>0.21874154577797236</v>
      </c>
      <c r="L52" s="5">
        <f t="shared" si="5"/>
        <v>0.21874154577797236</v>
      </c>
      <c r="M52" s="7">
        <f t="shared" si="6"/>
        <v>0.14556015322214164</v>
      </c>
      <c r="N52" s="7">
        <f t="shared" si="7"/>
        <v>0.22621959568233829</v>
      </c>
      <c r="O52" s="7">
        <f t="shared" si="8"/>
        <v>3.62459879549289E-3</v>
      </c>
      <c r="P52" s="7">
        <f t="shared" si="9"/>
        <v>5.6331025756461341E-3</v>
      </c>
      <c r="Q52" s="7">
        <f>E38</f>
        <v>1.0822536130248883</v>
      </c>
      <c r="R52" s="7">
        <f>MIN(I18:I117)</f>
        <v>8.17021831322846E-6</v>
      </c>
    </row>
    <row r="53" spans="1:18" x14ac:dyDescent="0.2">
      <c r="A53" s="9">
        <v>7200.01</v>
      </c>
      <c r="B53" s="9">
        <v>4.4049699999999997E-2</v>
      </c>
      <c r="C53" s="9">
        <v>0.92947100000000005</v>
      </c>
      <c r="G53" s="7">
        <f t="shared" si="3"/>
        <v>0.720001</v>
      </c>
      <c r="H53" s="9">
        <f>dpa_conversion!B53+dpa_conversion!C53</f>
        <v>0.97352070000000002</v>
      </c>
      <c r="I53" s="7">
        <f t="shared" si="4"/>
        <v>0.22515179444706579</v>
      </c>
      <c r="J53" s="5">
        <f t="shared" si="1"/>
        <v>0.22515179444706579</v>
      </c>
      <c r="K53" s="5">
        <f t="shared" si="2"/>
        <v>0.22515179444706579</v>
      </c>
      <c r="L53" s="5">
        <f t="shared" si="5"/>
        <v>0.22515179444706579</v>
      </c>
      <c r="M53" s="7">
        <f t="shared" si="6"/>
        <v>0.14289491051576633</v>
      </c>
      <c r="N53" s="7">
        <f t="shared" si="7"/>
        <v>0.22489279834924822</v>
      </c>
      <c r="O53" s="7">
        <f t="shared" si="8"/>
        <v>3.6625059114668628E-3</v>
      </c>
      <c r="P53" s="7">
        <f t="shared" si="9"/>
        <v>5.7641745281723448E-3</v>
      </c>
      <c r="Q53" s="7">
        <f>E38</f>
        <v>1.0822536130248883</v>
      </c>
      <c r="R53" s="7">
        <f>MAX(I18:I117)</f>
        <v>0.27793543454659769</v>
      </c>
    </row>
    <row r="54" spans="1:18" x14ac:dyDescent="0.2">
      <c r="A54" s="9">
        <v>7400.01</v>
      </c>
      <c r="B54" s="9">
        <v>4.4547999999999997E-2</v>
      </c>
      <c r="C54" s="9">
        <v>0.96228199999999997</v>
      </c>
      <c r="G54" s="7">
        <f t="shared" si="3"/>
        <v>0.74000100000000002</v>
      </c>
      <c r="H54" s="9">
        <f>dpa_conversion!B54+dpa_conversion!C54</f>
        <v>1.0068299999999999</v>
      </c>
      <c r="I54" s="7">
        <f t="shared" si="4"/>
        <v>0.23285542999048628</v>
      </c>
      <c r="J54" s="5">
        <f t="shared" si="1"/>
        <v>0.23285542999048628</v>
      </c>
      <c r="K54" s="5">
        <f t="shared" si="2"/>
        <v>0.23285542999048628</v>
      </c>
      <c r="L54" s="5">
        <f t="shared" si="5"/>
        <v>0.23285542999048628</v>
      </c>
      <c r="M54" s="7">
        <f t="shared" si="6"/>
        <v>0.14027846906802285</v>
      </c>
      <c r="N54" s="7">
        <f t="shared" si="7"/>
        <v>0.22357378279632523</v>
      </c>
      <c r="O54" s="7">
        <f t="shared" si="8"/>
        <v>3.7184637171877514E-3</v>
      </c>
      <c r="P54" s="7">
        <f t="shared" si="9"/>
        <v>5.9264333647626099E-3</v>
      </c>
      <c r="Q54" s="5" t="s">
        <v>710</v>
      </c>
    </row>
    <row r="55" spans="1:18" x14ac:dyDescent="0.2">
      <c r="A55" s="9">
        <v>7600.01</v>
      </c>
      <c r="B55" s="9">
        <v>4.4710300000000001E-2</v>
      </c>
      <c r="C55" s="9">
        <v>0.99221999999999999</v>
      </c>
      <c r="G55" s="7">
        <f t="shared" si="3"/>
        <v>0.76000100000000004</v>
      </c>
      <c r="H55" s="9">
        <f>dpa_conversion!B55+dpa_conversion!C55</f>
        <v>1.0369303000000001</v>
      </c>
      <c r="I55" s="7">
        <f t="shared" si="4"/>
        <v>0.23981690143982995</v>
      </c>
      <c r="J55" s="5">
        <f t="shared" si="1"/>
        <v>0.23981690143982995</v>
      </c>
      <c r="K55" s="5">
        <f t="shared" si="2"/>
        <v>0.23981690143982995</v>
      </c>
      <c r="L55" s="5">
        <f t="shared" si="5"/>
        <v>0.23981690143982995</v>
      </c>
      <c r="M55" s="7">
        <f t="shared" si="6"/>
        <v>0.13770993531569528</v>
      </c>
      <c r="N55" s="7">
        <f t="shared" si="7"/>
        <v>0.22226250338276116</v>
      </c>
      <c r="O55" s="7">
        <f t="shared" si="8"/>
        <v>3.7595098114584563E-3</v>
      </c>
      <c r="P55" s="7">
        <f t="shared" si="9"/>
        <v>6.0678124658996406E-3</v>
      </c>
      <c r="Q55" s="7">
        <f>E39</f>
        <v>3.4</v>
      </c>
      <c r="R55" s="7">
        <f>MIN(I18:I117)</f>
        <v>8.17021831322846E-6</v>
      </c>
    </row>
    <row r="56" spans="1:18" x14ac:dyDescent="0.2">
      <c r="A56" s="9">
        <v>7800.01</v>
      </c>
      <c r="B56" s="9">
        <v>4.4882900000000003E-2</v>
      </c>
      <c r="C56" s="9">
        <v>0.99690599999999996</v>
      </c>
      <c r="G56" s="7">
        <f t="shared" si="3"/>
        <v>0.78000100000000006</v>
      </c>
      <c r="H56" s="9">
        <f>dpa_conversion!B56+dpa_conversion!C56</f>
        <v>1.0417889</v>
      </c>
      <c r="I56" s="7">
        <f t="shared" si="4"/>
        <v>0.24094057812025443</v>
      </c>
      <c r="J56" s="5">
        <f t="shared" si="1"/>
        <v>0.24094057812025443</v>
      </c>
      <c r="K56" s="5">
        <f t="shared" si="2"/>
        <v>0.24094057812025443</v>
      </c>
      <c r="L56" s="5">
        <f t="shared" si="5"/>
        <v>0.24094057812025443</v>
      </c>
      <c r="M56" s="7">
        <f t="shared" si="6"/>
        <v>0.13518843205693298</v>
      </c>
      <c r="N56" s="7">
        <f t="shared" si="7"/>
        <v>0.22095891473543516</v>
      </c>
      <c r="O56" s="7">
        <f t="shared" si="8"/>
        <v>3.7079651185736632E-3</v>
      </c>
      <c r="P56" s="7">
        <f t="shared" si="9"/>
        <v>6.0604885788737009E-3</v>
      </c>
      <c r="Q56" s="7">
        <f>E39</f>
        <v>3.4</v>
      </c>
      <c r="R56" s="7">
        <f>MAX(I18:I117)</f>
        <v>0.27793543454659769</v>
      </c>
    </row>
    <row r="57" spans="1:18" x14ac:dyDescent="0.2">
      <c r="A57" s="9">
        <v>8000.01</v>
      </c>
      <c r="B57" s="9">
        <v>4.51393E-2</v>
      </c>
      <c r="C57" s="9">
        <v>1.0362800000000001</v>
      </c>
      <c r="G57" s="7">
        <f t="shared" si="3"/>
        <v>0.80000100000000007</v>
      </c>
      <c r="H57" s="9">
        <f>dpa_conversion!B57+dpa_conversion!C57</f>
        <v>1.0814193000000001</v>
      </c>
      <c r="I57" s="7">
        <f t="shared" si="4"/>
        <v>0.25010613122524233</v>
      </c>
      <c r="J57" s="5">
        <f t="shared" si="1"/>
        <v>0.25010613122524233</v>
      </c>
      <c r="K57" s="5">
        <f t="shared" si="2"/>
        <v>0.25010613122524233</v>
      </c>
      <c r="L57" s="5">
        <f t="shared" si="5"/>
        <v>0.25010613122524233</v>
      </c>
      <c r="M57" s="7">
        <f t="shared" si="6"/>
        <v>0.1327130981516699</v>
      </c>
      <c r="N57" s="7">
        <f t="shared" si="7"/>
        <v>0.21966297174734345</v>
      </c>
      <c r="O57" s="7">
        <f t="shared" si="8"/>
        <v>3.7785422881793074E-3</v>
      </c>
      <c r="P57" s="7">
        <f t="shared" si="9"/>
        <v>6.254136475255136E-3</v>
      </c>
    </row>
    <row r="58" spans="1:18" x14ac:dyDescent="0.2">
      <c r="A58" s="9">
        <v>8200.01</v>
      </c>
      <c r="B58" s="9">
        <v>4.5575200000000003E-2</v>
      </c>
      <c r="C58" s="9">
        <v>1.0596699999999999</v>
      </c>
      <c r="G58" s="7">
        <f t="shared" si="3"/>
        <v>0.82000099999999998</v>
      </c>
      <c r="H58" s="9">
        <f>dpa_conversion!B58+dpa_conversion!C58</f>
        <v>1.1052451999999999</v>
      </c>
      <c r="I58" s="7">
        <f t="shared" si="4"/>
        <v>0.25561648569363349</v>
      </c>
      <c r="J58" s="5">
        <f t="shared" si="1"/>
        <v>0.25561648569363349</v>
      </c>
      <c r="K58" s="5">
        <f t="shared" si="2"/>
        <v>0.25561648569363349</v>
      </c>
      <c r="L58" s="5">
        <f t="shared" si="5"/>
        <v>0.25561648569363349</v>
      </c>
      <c r="M58" s="7">
        <f t="shared" si="6"/>
        <v>0.13028308822752946</v>
      </c>
      <c r="N58" s="7">
        <f t="shared" si="7"/>
        <v>0.21837462957603893</v>
      </c>
      <c r="O58" s="7">
        <f t="shared" si="8"/>
        <v>3.7910810132108881E-3</v>
      </c>
      <c r="P58" s="7">
        <f t="shared" si="9"/>
        <v>6.354438808718289E-3</v>
      </c>
    </row>
    <row r="59" spans="1:18" x14ac:dyDescent="0.2">
      <c r="A59" s="9">
        <v>8400.01</v>
      </c>
      <c r="B59" s="9">
        <v>4.58222E-2</v>
      </c>
      <c r="C59" s="9">
        <v>1.0807500000000001</v>
      </c>
      <c r="G59" s="7">
        <f t="shared" si="3"/>
        <v>0.840001</v>
      </c>
      <c r="H59" s="9">
        <f>dpa_conversion!B59+dpa_conversion!C59</f>
        <v>1.1265722</v>
      </c>
      <c r="I59" s="7">
        <f t="shared" si="4"/>
        <v>0.26054890502500738</v>
      </c>
      <c r="J59" s="5">
        <f t="shared" si="1"/>
        <v>0.26054890502500738</v>
      </c>
      <c r="K59" s="5">
        <f t="shared" si="2"/>
        <v>0.26054890502500738</v>
      </c>
      <c r="L59" s="5">
        <f t="shared" si="5"/>
        <v>0.26054890502500738</v>
      </c>
      <c r="M59" s="7">
        <f t="shared" si="6"/>
        <v>0.12789757239111402</v>
      </c>
      <c r="N59" s="7">
        <f t="shared" si="7"/>
        <v>0.21709384364207904</v>
      </c>
      <c r="O59" s="7">
        <f t="shared" si="8"/>
        <v>3.7934792646138085E-3</v>
      </c>
      <c r="P59" s="7">
        <f t="shared" si="9"/>
        <v>6.4390666604142409E-3</v>
      </c>
    </row>
    <row r="60" spans="1:18" x14ac:dyDescent="0.2">
      <c r="A60" s="9">
        <v>8600.01</v>
      </c>
      <c r="B60" s="9">
        <v>4.62867E-2</v>
      </c>
      <c r="C60" s="9">
        <v>1.10599</v>
      </c>
      <c r="G60" s="7">
        <f t="shared" si="3"/>
        <v>0.86000100000000002</v>
      </c>
      <c r="H60" s="9">
        <f>dpa_conversion!B60+dpa_conversion!C60</f>
        <v>1.1522767</v>
      </c>
      <c r="I60" s="7">
        <f t="shared" si="4"/>
        <v>0.26649373424164813</v>
      </c>
      <c r="J60" s="5">
        <f t="shared" si="1"/>
        <v>0.26649373424164813</v>
      </c>
      <c r="K60" s="5">
        <f t="shared" si="2"/>
        <v>0.26649373424164813</v>
      </c>
      <c r="L60" s="5">
        <f t="shared" si="5"/>
        <v>0.26649373424164813</v>
      </c>
      <c r="M60" s="7">
        <f t="shared" si="6"/>
        <v>0.12555573594458111</v>
      </c>
      <c r="N60" s="7">
        <f t="shared" si="7"/>
        <v>0.21582056962748367</v>
      </c>
      <c r="O60" s="7">
        <f t="shared" si="8"/>
        <v>3.8089890252027722E-3</v>
      </c>
      <c r="P60" s="7">
        <f t="shared" si="9"/>
        <v>6.5473566375887707E-3</v>
      </c>
    </row>
    <row r="61" spans="1:18" x14ac:dyDescent="0.2">
      <c r="A61" s="9">
        <v>8800.01</v>
      </c>
      <c r="B61" s="9">
        <v>4.6585599999999998E-2</v>
      </c>
      <c r="C61" s="9">
        <v>1.12158</v>
      </c>
      <c r="G61" s="7">
        <f t="shared" si="3"/>
        <v>0.88000100000000003</v>
      </c>
      <c r="H61" s="9">
        <f>dpa_conversion!B61+dpa_conversion!C61</f>
        <v>1.1681656</v>
      </c>
      <c r="I61" s="7">
        <f t="shared" si="4"/>
        <v>0.27016845255712924</v>
      </c>
      <c r="J61" s="5">
        <f t="shared" si="1"/>
        <v>0.27016845255712924</v>
      </c>
      <c r="K61" s="5">
        <f t="shared" si="2"/>
        <v>0.27016845255712924</v>
      </c>
      <c r="L61" s="5">
        <f t="shared" si="5"/>
        <v>0.27016845255712924</v>
      </c>
      <c r="M61" s="7">
        <f t="shared" si="6"/>
        <v>0.12325677910740888</v>
      </c>
      <c r="N61" s="7">
        <f t="shared" si="7"/>
        <v>0.21455476347420138</v>
      </c>
      <c r="O61" s="7">
        <f t="shared" si="8"/>
        <v>3.7908064503756373E-3</v>
      </c>
      <c r="P61" s="7">
        <f t="shared" si="9"/>
        <v>6.5987087057342436E-3</v>
      </c>
    </row>
    <row r="62" spans="1:18" x14ac:dyDescent="0.2">
      <c r="A62" s="9">
        <v>9000.01</v>
      </c>
      <c r="B62" s="9">
        <v>4.6811100000000001E-2</v>
      </c>
      <c r="C62" s="9">
        <v>1.12029</v>
      </c>
      <c r="G62" s="7">
        <f t="shared" si="3"/>
        <v>0.90000100000000005</v>
      </c>
      <c r="H62" s="9">
        <f>dpa_conversion!B62+dpa_conversion!C62</f>
        <v>1.1671011</v>
      </c>
      <c r="I62" s="7">
        <f t="shared" si="4"/>
        <v>0.26992225945082043</v>
      </c>
      <c r="J62" s="5">
        <f t="shared" si="1"/>
        <v>0.26992225945082043</v>
      </c>
      <c r="K62" s="5">
        <f t="shared" si="2"/>
        <v>0.26992225945082043</v>
      </c>
      <c r="L62" s="5">
        <f t="shared" si="5"/>
        <v>0.26992225945082043</v>
      </c>
      <c r="M62" s="7">
        <f t="shared" si="6"/>
        <v>0.1209999167432563</v>
      </c>
      <c r="N62" s="7">
        <f t="shared" si="7"/>
        <v>0.21329638138258503</v>
      </c>
      <c r="O62" s="7">
        <f t="shared" si="8"/>
        <v>3.7180046879513678E-3</v>
      </c>
      <c r="P62" s="7">
        <f t="shared" si="9"/>
        <v>6.5540288559554931E-3</v>
      </c>
    </row>
    <row r="63" spans="1:18" x14ac:dyDescent="0.2">
      <c r="A63" s="9">
        <v>9200.01</v>
      </c>
      <c r="B63" s="9">
        <v>4.6917899999999998E-2</v>
      </c>
      <c r="C63" s="9">
        <v>1.14188</v>
      </c>
      <c r="G63" s="7">
        <f t="shared" si="3"/>
        <v>0.92000100000000007</v>
      </c>
      <c r="H63" s="9">
        <f>dpa_conversion!B63+dpa_conversion!C63</f>
        <v>1.1887979</v>
      </c>
      <c r="I63" s="7">
        <f t="shared" si="4"/>
        <v>0.27494020457901253</v>
      </c>
      <c r="J63" s="5">
        <f t="shared" si="1"/>
        <v>0.27494020457901253</v>
      </c>
      <c r="K63" s="5">
        <f t="shared" si="2"/>
        <v>0.27494020457901253</v>
      </c>
      <c r="L63" s="5">
        <f t="shared" si="5"/>
        <v>0.27494020457901253</v>
      </c>
      <c r="M63" s="7">
        <f t="shared" si="6"/>
        <v>0.11878437809182453</v>
      </c>
      <c r="N63" s="7">
        <f t="shared" si="7"/>
        <v>0.21204537980987609</v>
      </c>
      <c r="O63" s="7">
        <f t="shared" si="8"/>
        <v>3.7177804609727196E-3</v>
      </c>
      <c r="P63" s="7">
        <f t="shared" si="9"/>
        <v>6.6367158927858605E-3</v>
      </c>
    </row>
    <row r="64" spans="1:18" x14ac:dyDescent="0.2">
      <c r="A64" s="9">
        <v>9400.01</v>
      </c>
      <c r="B64" s="9">
        <v>4.6836200000000001E-2</v>
      </c>
      <c r="C64" s="9">
        <v>1.13598</v>
      </c>
      <c r="G64" s="7">
        <f t="shared" si="3"/>
        <v>0.94000099999999998</v>
      </c>
      <c r="H64" s="9">
        <f>dpa_conversion!B64+dpa_conversion!C64</f>
        <v>1.1828162</v>
      </c>
      <c r="I64" s="7">
        <f t="shared" si="4"/>
        <v>0.27355678202945183</v>
      </c>
      <c r="J64" s="5">
        <f t="shared" si="1"/>
        <v>0.27355678202945183</v>
      </c>
      <c r="K64" s="5">
        <f t="shared" si="2"/>
        <v>0.27355678202945183</v>
      </c>
      <c r="L64" s="5">
        <f t="shared" si="5"/>
        <v>0.27355678202945183</v>
      </c>
      <c r="M64" s="7">
        <f t="shared" si="6"/>
        <v>0.11660940650562807</v>
      </c>
      <c r="N64" s="7">
        <f t="shared" si="7"/>
        <v>0.21080171546869811</v>
      </c>
      <c r="O64" s="7">
        <f t="shared" si="8"/>
        <v>3.6313426643712838E-3</v>
      </c>
      <c r="P64" s="7">
        <f t="shared" si="9"/>
        <v>6.5645927377839235E-3</v>
      </c>
    </row>
    <row r="65" spans="1:16" x14ac:dyDescent="0.2">
      <c r="A65" s="9">
        <v>9600.01</v>
      </c>
      <c r="B65" s="9">
        <v>4.7028800000000003E-2</v>
      </c>
      <c r="C65" s="9">
        <v>1.15472</v>
      </c>
      <c r="G65" s="7">
        <f t="shared" si="3"/>
        <v>0.96000099999999999</v>
      </c>
      <c r="H65" s="9">
        <f>dpa_conversion!B65+dpa_conversion!C65</f>
        <v>1.2017488000000001</v>
      </c>
      <c r="I65" s="7">
        <f t="shared" si="4"/>
        <v>0.27793543454659769</v>
      </c>
      <c r="J65" s="5">
        <f t="shared" si="1"/>
        <v>0.27793543454659769</v>
      </c>
      <c r="K65" s="5">
        <f t="shared" si="2"/>
        <v>0.27793543454659769</v>
      </c>
      <c r="L65" s="5">
        <f t="shared" si="5"/>
        <v>0.27793543454659769</v>
      </c>
      <c r="M65" s="7">
        <f t="shared" si="6"/>
        <v>0.11447425919158552</v>
      </c>
      <c r="N65" s="7">
        <f t="shared" si="7"/>
        <v>0.20956534532555879</v>
      </c>
      <c r="O65" s="7">
        <f t="shared" si="8"/>
        <v>3.6219122315442067E-3</v>
      </c>
      <c r="P65" s="7">
        <f t="shared" si="9"/>
        <v>6.6305498974412206E-3</v>
      </c>
    </row>
    <row r="66" spans="1:16" x14ac:dyDescent="0.2">
      <c r="A66" s="9">
        <v>9800.01</v>
      </c>
      <c r="B66" s="9">
        <v>4.67681E-2</v>
      </c>
      <c r="C66" s="9">
        <v>1.14269</v>
      </c>
      <c r="G66" s="7">
        <f t="shared" si="3"/>
        <v>0.98000100000000001</v>
      </c>
      <c r="H66" s="9">
        <f>dpa_conversion!B66+dpa_conversion!C66</f>
        <v>1.1894581</v>
      </c>
      <c r="I66" s="7">
        <f t="shared" si="4"/>
        <v>0.27509289287284533</v>
      </c>
      <c r="J66" s="5">
        <f t="shared" si="1"/>
        <v>0.27509289287284533</v>
      </c>
      <c r="K66" s="5">
        <f t="shared" si="2"/>
        <v>0.27509289287284533</v>
      </c>
      <c r="L66" s="5">
        <f t="shared" si="5"/>
        <v>0.27509289287284533</v>
      </c>
      <c r="M66" s="7">
        <f t="shared" si="6"/>
        <v>0.11237820695734203</v>
      </c>
      <c r="N66" s="7">
        <f t="shared" si="7"/>
        <v>0.20833622659936096</v>
      </c>
      <c r="O66" s="7">
        <f t="shared" si="8"/>
        <v>3.5192298263878375E-3</v>
      </c>
      <c r="P66" s="7">
        <f t="shared" si="9"/>
        <v>6.5242459585057909E-3</v>
      </c>
    </row>
    <row r="67" spans="1:16" x14ac:dyDescent="0.2">
      <c r="A67" s="9">
        <v>10000</v>
      </c>
      <c r="B67" s="9">
        <v>4.6540999999999999E-2</v>
      </c>
      <c r="C67" s="9">
        <v>1.1428100000000001</v>
      </c>
      <c r="G67" s="7">
        <f t="shared" si="3"/>
        <v>1</v>
      </c>
      <c r="H67" s="9">
        <f>dpa_conversion!B67+dpa_conversion!C67</f>
        <v>1.189351</v>
      </c>
      <c r="I67" s="7">
        <f t="shared" si="4"/>
        <v>0.27506812323293395</v>
      </c>
      <c r="J67" s="5">
        <f t="shared" si="1"/>
        <v>0.27506812323293395</v>
      </c>
      <c r="K67" s="5">
        <f t="shared" si="2"/>
        <v>0.27506812323293395</v>
      </c>
      <c r="L67" s="5">
        <f t="shared" si="5"/>
        <v>0.27506812323293395</v>
      </c>
      <c r="M67" s="7">
        <f t="shared" si="6"/>
        <v>0.11032063589821885</v>
      </c>
      <c r="N67" s="7">
        <f t="shared" si="7"/>
        <v>0.20711437767590676</v>
      </c>
      <c r="O67" s="7">
        <f t="shared" si="8"/>
        <v>3.4543112454282596E-3</v>
      </c>
      <c r="P67" s="7">
        <f t="shared" si="9"/>
        <v>6.485074329664115E-3</v>
      </c>
    </row>
    <row r="68" spans="1:16" x14ac:dyDescent="0.2">
      <c r="A68" s="9">
        <v>10200</v>
      </c>
      <c r="B68" s="9">
        <v>4.6106099999999997E-2</v>
      </c>
      <c r="C68" s="9">
        <v>1.12005</v>
      </c>
      <c r="G68" s="7">
        <f t="shared" si="3"/>
        <v>1.02</v>
      </c>
      <c r="H68" s="9">
        <f>dpa_conversion!B68+dpa_conversion!C68</f>
        <v>1.1661561</v>
      </c>
      <c r="I68" s="7">
        <f t="shared" si="4"/>
        <v>0.26970370380454356</v>
      </c>
      <c r="J68" s="5">
        <f t="shared" si="1"/>
        <v>0.26970370380454356</v>
      </c>
      <c r="K68" s="5">
        <f t="shared" si="2"/>
        <v>0.26970370380454356</v>
      </c>
      <c r="L68" s="5">
        <f t="shared" si="5"/>
        <v>0.26970370380454356</v>
      </c>
      <c r="M68" s="7">
        <f t="shared" si="6"/>
        <v>0.10830063754233851</v>
      </c>
      <c r="N68" s="7">
        <f t="shared" si="7"/>
        <v>0.20589963408521056</v>
      </c>
      <c r="O68" s="7">
        <f t="shared" si="8"/>
        <v>3.3250952056860816E-3</v>
      </c>
      <c r="P68" s="7">
        <f t="shared" si="9"/>
        <v>6.3216237843623409E-3</v>
      </c>
    </row>
    <row r="69" spans="1:16" x14ac:dyDescent="0.2">
      <c r="A69" s="9">
        <v>10400</v>
      </c>
      <c r="B69" s="9">
        <v>4.5566700000000002E-2</v>
      </c>
      <c r="C69" s="9">
        <v>1.1242000000000001</v>
      </c>
      <c r="G69" s="7">
        <f t="shared" si="3"/>
        <v>1.04</v>
      </c>
      <c r="H69" s="9">
        <f>dpa_conversion!B69+dpa_conversion!C69</f>
        <v>1.1697667</v>
      </c>
      <c r="I69" s="7">
        <f t="shared" si="4"/>
        <v>0.27053874826639274</v>
      </c>
      <c r="J69" s="5">
        <f t="shared" si="1"/>
        <v>0.27053874826639274</v>
      </c>
      <c r="K69" s="5">
        <f t="shared" si="2"/>
        <v>0.27053874826639274</v>
      </c>
      <c r="L69" s="5">
        <f t="shared" si="5"/>
        <v>0.27053874826639274</v>
      </c>
      <c r="M69" s="7">
        <f t="shared" si="6"/>
        <v>0.10631762586011662</v>
      </c>
      <c r="N69" s="7">
        <f t="shared" si="7"/>
        <v>0.2046920150698707</v>
      </c>
      <c r="O69" s="7">
        <f t="shared" si="8"/>
        <v>3.2743183890648364E-3</v>
      </c>
      <c r="P69" s="7">
        <f t="shared" si="9"/>
        <v>6.3040048497681805E-3</v>
      </c>
    </row>
    <row r="70" spans="1:16" x14ac:dyDescent="0.2">
      <c r="A70" s="9">
        <v>10600</v>
      </c>
      <c r="B70" s="9">
        <v>4.4828399999999997E-2</v>
      </c>
      <c r="C70" s="9">
        <v>1.0913299999999999</v>
      </c>
      <c r="G70" s="7">
        <f t="shared" si="3"/>
        <v>1.06</v>
      </c>
      <c r="H70" s="9">
        <f>dpa_conversion!B70+dpa_conversion!C70</f>
        <v>1.1361584</v>
      </c>
      <c r="I70" s="7">
        <f t="shared" si="4"/>
        <v>0.26276596125393853</v>
      </c>
      <c r="J70" s="5">
        <f t="shared" si="1"/>
        <v>0.26276596125393853</v>
      </c>
      <c r="K70" s="5">
        <f t="shared" si="2"/>
        <v>0.26276596125393853</v>
      </c>
      <c r="L70" s="5">
        <f t="shared" si="5"/>
        <v>0.26276596125393853</v>
      </c>
      <c r="M70" s="7">
        <f t="shared" si="6"/>
        <v>0.10437092361633449</v>
      </c>
      <c r="N70" s="7">
        <f t="shared" si="7"/>
        <v>0.2034914788436416</v>
      </c>
      <c r="O70" s="7">
        <f t="shared" si="8"/>
        <v>3.1220136214775958E-3</v>
      </c>
      <c r="P70" s="7">
        <f t="shared" si="9"/>
        <v>6.0869746744776475E-3</v>
      </c>
    </row>
    <row r="71" spans="1:16" x14ac:dyDescent="0.2">
      <c r="A71" s="9">
        <v>10800</v>
      </c>
      <c r="B71" s="9">
        <v>4.4106100000000002E-2</v>
      </c>
      <c r="C71" s="9">
        <v>1.0811599999999999</v>
      </c>
      <c r="G71" s="7">
        <f t="shared" si="3"/>
        <v>1.08</v>
      </c>
      <c r="H71" s="9">
        <f>dpa_conversion!B71+dpa_conversion!C71</f>
        <v>1.1252660999999999</v>
      </c>
      <c r="I71" s="7">
        <f t="shared" si="4"/>
        <v>0.2602468356815128</v>
      </c>
      <c r="J71" s="5">
        <f t="shared" si="1"/>
        <v>0.2602468356815128</v>
      </c>
      <c r="K71" s="5">
        <f t="shared" si="2"/>
        <v>0.2602468356815128</v>
      </c>
      <c r="L71" s="5">
        <f t="shared" si="5"/>
        <v>0.2602468356815128</v>
      </c>
      <c r="M71" s="7">
        <f t="shared" si="6"/>
        <v>0.10245986597611914</v>
      </c>
      <c r="N71" s="7">
        <f t="shared" si="7"/>
        <v>0.20229798386535763</v>
      </c>
      <c r="O71" s="7">
        <f t="shared" si="8"/>
        <v>3.0354662047303903E-3</v>
      </c>
      <c r="P71" s="7">
        <f t="shared" si="9"/>
        <v>5.9932607510096783E-3</v>
      </c>
    </row>
    <row r="72" spans="1:16" x14ac:dyDescent="0.2">
      <c r="A72" s="9">
        <v>11000</v>
      </c>
      <c r="B72" s="9">
        <v>4.3156100000000003E-2</v>
      </c>
      <c r="C72" s="9">
        <v>1.0517000000000001</v>
      </c>
      <c r="G72" s="7">
        <f t="shared" si="3"/>
        <v>1.1000000000000001</v>
      </c>
      <c r="H72" s="9">
        <f>dpa_conversion!B72+dpa_conversion!C72</f>
        <v>1.0948561000000001</v>
      </c>
      <c r="I72" s="7">
        <f t="shared" si="4"/>
        <v>0.25321373811190262</v>
      </c>
      <c r="J72" s="5">
        <f t="shared" si="1"/>
        <v>-2</v>
      </c>
      <c r="K72" s="5">
        <f t="shared" si="2"/>
        <v>0.25321373811190262</v>
      </c>
      <c r="L72" s="5">
        <f t="shared" si="5"/>
        <v>0.25321373811190262</v>
      </c>
      <c r="M72" s="7">
        <f t="shared" si="6"/>
        <v>0.10058380027788995</v>
      </c>
      <c r="N72" s="7">
        <f t="shared" si="7"/>
        <v>0.20111148883749555</v>
      </c>
      <c r="O72" s="7">
        <f t="shared" si="8"/>
        <v>2.8993554784545457E-3</v>
      </c>
      <c r="P72" s="7">
        <f t="shared" si="9"/>
        <v>5.7970935213243965E-3</v>
      </c>
    </row>
    <row r="73" spans="1:16" x14ac:dyDescent="0.2">
      <c r="A73" s="9">
        <v>11200</v>
      </c>
      <c r="B73" s="9">
        <v>4.2104799999999998E-2</v>
      </c>
      <c r="C73" s="9">
        <v>1.0247900000000001</v>
      </c>
      <c r="G73" s="7">
        <f t="shared" si="3"/>
        <v>1.1200000000000001</v>
      </c>
      <c r="H73" s="9">
        <f>dpa_conversion!B73+dpa_conversion!C73</f>
        <v>1.0668948</v>
      </c>
      <c r="I73" s="7">
        <f t="shared" si="4"/>
        <v>0.2467469656333382</v>
      </c>
      <c r="J73" s="5">
        <f t="shared" si="1"/>
        <v>-2</v>
      </c>
      <c r="K73" s="5">
        <f t="shared" si="2"/>
        <v>0.2467469656333382</v>
      </c>
      <c r="L73" s="5">
        <f t="shared" si="5"/>
        <v>0.2467469656333382</v>
      </c>
      <c r="M73" s="7">
        <f t="shared" si="6"/>
        <v>9.8742085810462607E-2</v>
      </c>
      <c r="N73" s="7">
        <f t="shared" si="7"/>
        <v>0.19993195270474573</v>
      </c>
      <c r="O73" s="7">
        <f t="shared" si="8"/>
        <v>2.7735773272168883E-3</v>
      </c>
      <c r="P73" s="7">
        <f t="shared" si="9"/>
        <v>5.615910646980935E-3</v>
      </c>
    </row>
    <row r="74" spans="1:16" x14ac:dyDescent="0.2">
      <c r="A74" s="9">
        <v>11400</v>
      </c>
      <c r="B74" s="9">
        <v>4.0803399999999997E-2</v>
      </c>
      <c r="C74" s="9">
        <v>0.99542299999999995</v>
      </c>
      <c r="G74" s="7">
        <f t="shared" si="3"/>
        <v>1.1399999999999999</v>
      </c>
      <c r="H74" s="9">
        <f>dpa_conversion!B74+dpa_conversion!C74</f>
        <v>1.0362263999999999</v>
      </c>
      <c r="I74" s="7">
        <f t="shared" si="4"/>
        <v>0.23965410639283061</v>
      </c>
      <c r="J74" s="5">
        <f t="shared" si="1"/>
        <v>-2</v>
      </c>
      <c r="K74" s="5">
        <f t="shared" si="2"/>
        <v>0.23965410639283061</v>
      </c>
      <c r="L74" s="5">
        <f t="shared" si="5"/>
        <v>0.23965410639283061</v>
      </c>
      <c r="M74" s="7">
        <f t="shared" si="6"/>
        <v>9.6934093594234397E-2</v>
      </c>
      <c r="N74" s="7">
        <f t="shared" si="7"/>
        <v>0.19875933465259146</v>
      </c>
      <c r="O74" s="7">
        <f t="shared" si="8"/>
        <v>2.6445244671874529E-3</v>
      </c>
      <c r="P74" s="7">
        <f t="shared" si="9"/>
        <v>5.4224876313481198E-3</v>
      </c>
    </row>
    <row r="75" spans="1:16" x14ac:dyDescent="0.2">
      <c r="A75" s="9">
        <v>11600</v>
      </c>
      <c r="B75" s="9">
        <v>3.9751500000000002E-2</v>
      </c>
      <c r="C75" s="9">
        <v>0.96422300000000005</v>
      </c>
      <c r="G75" s="7">
        <f t="shared" si="3"/>
        <v>1.1599999999999999</v>
      </c>
      <c r="H75" s="9">
        <f>dpa_conversion!B75+dpa_conversion!C75</f>
        <v>1.0039745</v>
      </c>
      <c r="I75" s="7">
        <f t="shared" si="4"/>
        <v>0.23219502189742411</v>
      </c>
      <c r="J75" s="5">
        <f t="shared" si="1"/>
        <v>-2</v>
      </c>
      <c r="K75" s="5">
        <f t="shared" si="2"/>
        <v>0.23219502189742411</v>
      </c>
      <c r="L75" s="5">
        <f t="shared" si="5"/>
        <v>0.23219502189742411</v>
      </c>
      <c r="M75" s="7">
        <f t="shared" si="6"/>
        <v>9.5159206166375909E-2</v>
      </c>
      <c r="N75" s="7">
        <f t="shared" si="7"/>
        <v>0.19759359410589655</v>
      </c>
      <c r="O75" s="7">
        <f t="shared" si="8"/>
        <v>2.5153004925616155E-3</v>
      </c>
      <c r="P75" s="7">
        <f t="shared" si="9"/>
        <v>5.2229025924471926E-3</v>
      </c>
    </row>
    <row r="76" spans="1:16" x14ac:dyDescent="0.2">
      <c r="A76" s="9">
        <v>11800</v>
      </c>
      <c r="B76" s="9">
        <v>3.8146300000000001E-2</v>
      </c>
      <c r="C76" s="9">
        <v>0.91788700000000001</v>
      </c>
      <c r="G76" s="7">
        <f t="shared" si="3"/>
        <v>1.18</v>
      </c>
      <c r="H76" s="9">
        <f>dpa_conversion!B76+dpa_conversion!C76</f>
        <v>0.95603329999999997</v>
      </c>
      <c r="I76" s="7">
        <f t="shared" si="4"/>
        <v>0.22110738173944319</v>
      </c>
      <c r="J76" s="5">
        <f t="shared" si="1"/>
        <v>-2</v>
      </c>
      <c r="K76" s="5">
        <f t="shared" si="2"/>
        <v>0.22110738173944319</v>
      </c>
      <c r="L76" s="5">
        <f t="shared" si="5"/>
        <v>0.22110738173944319</v>
      </c>
      <c r="M76" s="7">
        <f t="shared" si="6"/>
        <v>9.3416817369956162E-2</v>
      </c>
      <c r="N76" s="7">
        <f t="shared" si="7"/>
        <v>0.19643469072750164</v>
      </c>
      <c r="O76" s="7">
        <f t="shared" si="8"/>
        <v>2.351334791594782E-3</v>
      </c>
      <c r="P76" s="7">
        <f t="shared" si="9"/>
        <v>4.9443316052456554E-3</v>
      </c>
    </row>
    <row r="77" spans="1:16" x14ac:dyDescent="0.2">
      <c r="A77" s="9">
        <v>12000</v>
      </c>
      <c r="B77" s="9">
        <v>3.6574700000000002E-2</v>
      </c>
      <c r="C77" s="9">
        <v>0.88016399999999995</v>
      </c>
      <c r="G77" s="7">
        <f t="shared" si="3"/>
        <v>1.2</v>
      </c>
      <c r="H77" s="9">
        <f>dpa_conversion!B77+dpa_conversion!C77</f>
        <v>0.91673869999999991</v>
      </c>
      <c r="I77" s="7">
        <f t="shared" si="4"/>
        <v>0.21201949105352383</v>
      </c>
      <c r="J77" s="5">
        <f t="shared" si="1"/>
        <v>-2</v>
      </c>
      <c r="K77" s="5">
        <f t="shared" si="2"/>
        <v>0.21201949105352383</v>
      </c>
      <c r="L77" s="5">
        <f t="shared" si="5"/>
        <v>0.21201949105352383</v>
      </c>
      <c r="M77" s="7">
        <f t="shared" si="6"/>
        <v>9.1706332146928818E-2</v>
      </c>
      <c r="N77" s="7">
        <f t="shared" si="7"/>
        <v>0.19528258441682816</v>
      </c>
      <c r="O77" s="7">
        <f t="shared" si="8"/>
        <v>2.2134069663303402E-3</v>
      </c>
      <c r="P77" s="7">
        <f t="shared" si="9"/>
        <v>4.7133041157799219E-3</v>
      </c>
    </row>
    <row r="78" spans="1:16" x14ac:dyDescent="0.2">
      <c r="A78" s="9">
        <v>12200</v>
      </c>
      <c r="B78" s="9">
        <v>3.4999599999999999E-2</v>
      </c>
      <c r="C78" s="9">
        <v>0.83471300000000004</v>
      </c>
      <c r="G78" s="7">
        <f t="shared" si="3"/>
        <v>1.22</v>
      </c>
      <c r="H78" s="9">
        <f>dpa_conversion!B78+dpa_conversion!C78</f>
        <v>0.86971260000000006</v>
      </c>
      <c r="I78" s="7">
        <f t="shared" si="4"/>
        <v>0.20114349139491655</v>
      </c>
      <c r="J78" s="5">
        <f t="shared" si="1"/>
        <v>-2</v>
      </c>
      <c r="K78" s="5">
        <f t="shared" si="2"/>
        <v>0.20114349139491655</v>
      </c>
      <c r="L78" s="5">
        <f t="shared" si="5"/>
        <v>0.20114349139491655</v>
      </c>
      <c r="M78" s="7">
        <f t="shared" si="6"/>
        <v>9.0027166334908676E-2</v>
      </c>
      <c r="N78" s="7">
        <f t="shared" si="7"/>
        <v>0.19413723530849084</v>
      </c>
      <c r="O78" s="7">
        <f t="shared" si="8"/>
        <v>2.0614163950033741E-3</v>
      </c>
      <c r="P78" s="7">
        <f t="shared" si="9"/>
        <v>4.4452990806883976E-3</v>
      </c>
    </row>
    <row r="79" spans="1:16" x14ac:dyDescent="0.2">
      <c r="A79" s="9">
        <v>12400</v>
      </c>
      <c r="B79" s="9">
        <v>3.3316800000000001E-2</v>
      </c>
      <c r="C79" s="9">
        <v>0.79090199999999999</v>
      </c>
      <c r="G79" s="7">
        <f t="shared" si="3"/>
        <v>1.24</v>
      </c>
      <c r="H79" s="9">
        <f>dpa_conversion!B79+dpa_conversion!C79</f>
        <v>0.82421880000000003</v>
      </c>
      <c r="I79" s="7">
        <f t="shared" si="4"/>
        <v>0.19062187566942049</v>
      </c>
      <c r="J79" s="5">
        <f t="shared" si="1"/>
        <v>-2</v>
      </c>
      <c r="K79" s="5">
        <f t="shared" si="2"/>
        <v>0.19062187566942049</v>
      </c>
      <c r="L79" s="5">
        <f t="shared" si="5"/>
        <v>0.19062187566942049</v>
      </c>
      <c r="M79" s="7">
        <f t="shared" si="6"/>
        <v>8.8378746467669508E-2</v>
      </c>
      <c r="N79" s="7">
        <f t="shared" si="7"/>
        <v>0.1929986037709184</v>
      </c>
      <c r="O79" s="7">
        <f t="shared" si="8"/>
        <v>1.9178151138519648E-3</v>
      </c>
      <c r="P79" s="7">
        <f t="shared" si="9"/>
        <v>4.188061655746568E-3</v>
      </c>
    </row>
    <row r="80" spans="1:16" x14ac:dyDescent="0.2">
      <c r="A80" s="9">
        <v>12600</v>
      </c>
      <c r="B80" s="9">
        <v>3.1528599999999997E-2</v>
      </c>
      <c r="C80" s="9">
        <v>0.74107699999999999</v>
      </c>
      <c r="G80" s="7">
        <f t="shared" si="3"/>
        <v>1.26</v>
      </c>
      <c r="H80" s="9">
        <f>dpa_conversion!B80+dpa_conversion!C80</f>
        <v>0.7726056</v>
      </c>
      <c r="I80" s="7">
        <f t="shared" si="4"/>
        <v>0.17868499071447777</v>
      </c>
      <c r="J80" s="5">
        <f t="shared" si="1"/>
        <v>-2</v>
      </c>
      <c r="K80" s="5">
        <f t="shared" si="2"/>
        <v>0.17868499071447777</v>
      </c>
      <c r="L80" s="5">
        <f t="shared" si="5"/>
        <v>0.17868499071447777</v>
      </c>
      <c r="M80" s="7">
        <f t="shared" si="6"/>
        <v>8.6760509579294778E-2</v>
      </c>
      <c r="N80" s="7">
        <f t="shared" si="7"/>
        <v>0.19186665040498213</v>
      </c>
      <c r="O80" s="7">
        <f t="shared" si="8"/>
        <v>1.7648033885037876E-3</v>
      </c>
      <c r="P80" s="7">
        <f t="shared" si="9"/>
        <v>3.9027769248648112E-3</v>
      </c>
    </row>
    <row r="81" spans="1:16" x14ac:dyDescent="0.2">
      <c r="A81" s="9">
        <v>12800</v>
      </c>
      <c r="B81" s="9">
        <v>2.9757499999999999E-2</v>
      </c>
      <c r="C81" s="9">
        <v>0.69760100000000003</v>
      </c>
      <c r="G81" s="7">
        <f t="shared" si="3"/>
        <v>1.28</v>
      </c>
      <c r="H81" s="9">
        <f>dpa_conversion!B81+dpa_conversion!C81</f>
        <v>0.72735850000000002</v>
      </c>
      <c r="I81" s="7">
        <f t="shared" si="4"/>
        <v>0.16822043073282991</v>
      </c>
      <c r="J81" s="5">
        <f t="shared" si="1"/>
        <v>-2</v>
      </c>
      <c r="K81" s="5">
        <f t="shared" si="2"/>
        <v>0.16822043073282991</v>
      </c>
      <c r="L81" s="5">
        <f t="shared" si="5"/>
        <v>0.16822043073282991</v>
      </c>
      <c r="M81" s="7">
        <f t="shared" si="6"/>
        <v>8.5171903011914171E-2</v>
      </c>
      <c r="N81" s="7">
        <f t="shared" si="7"/>
        <v>0.19074133604263249</v>
      </c>
      <c r="O81" s="7">
        <f t="shared" si="8"/>
        <v>1.6310273832377121E-3</v>
      </c>
      <c r="P81" s="7">
        <f t="shared" si="9"/>
        <v>3.6526639795445392E-3</v>
      </c>
    </row>
    <row r="82" spans="1:16" x14ac:dyDescent="0.2">
      <c r="A82" s="9">
        <v>13000</v>
      </c>
      <c r="B82" s="9">
        <v>2.80743E-2</v>
      </c>
      <c r="C82" s="9">
        <v>0.64881900000000003</v>
      </c>
      <c r="G82" s="7">
        <f t="shared" si="3"/>
        <v>1.3</v>
      </c>
      <c r="H82" s="9">
        <f>dpa_conversion!B82+dpa_conversion!C82</f>
        <v>0.67689330000000003</v>
      </c>
      <c r="I82" s="7">
        <f t="shared" si="4"/>
        <v>0.15654905041484585</v>
      </c>
      <c r="J82" s="5">
        <f t="shared" ref="J82:J117" si="10">IF(G82&lt;$E$38,I82,-2)</f>
        <v>-2</v>
      </c>
      <c r="K82" s="5">
        <f t="shared" ref="K82:K117" si="11">IF(G82&lt;$E$39,I82,-2)</f>
        <v>0.15654905041484585</v>
      </c>
      <c r="L82" s="5">
        <f t="shared" si="5"/>
        <v>0.15654905041484585</v>
      </c>
      <c r="M82" s="7">
        <f t="shared" si="6"/>
        <v>8.3612384226960879E-2</v>
      </c>
      <c r="N82" s="7">
        <f t="shared" si="7"/>
        <v>0.18962262174554401</v>
      </c>
      <c r="O82" s="7">
        <f t="shared" si="8"/>
        <v>1.4900718360892854E-3</v>
      </c>
      <c r="P82" s="7">
        <f t="shared" si="9"/>
        <v>3.3792999776382157E-3</v>
      </c>
    </row>
    <row r="83" spans="1:16" x14ac:dyDescent="0.2">
      <c r="A83" s="9">
        <v>13200</v>
      </c>
      <c r="B83" s="9">
        <v>2.62271E-2</v>
      </c>
      <c r="C83" s="9">
        <v>0.61131999999999997</v>
      </c>
      <c r="G83" s="7">
        <f t="shared" ref="G83:G117" si="12">A83/10000</f>
        <v>1.32</v>
      </c>
      <c r="H83" s="9">
        <f>dpa_conversion!B83+dpa_conversion!C83</f>
        <v>0.63754709999999992</v>
      </c>
      <c r="I83" s="7">
        <f t="shared" ref="I83:I117" si="13">(H83*$E$28/100000000000000)*(1/($E$34/1E+22))</f>
        <v>0.14744922589681234</v>
      </c>
      <c r="J83" s="5">
        <f t="shared" si="10"/>
        <v>-2</v>
      </c>
      <c r="K83" s="5">
        <f t="shared" si="11"/>
        <v>0.14744922589681234</v>
      </c>
      <c r="L83" s="5">
        <f t="shared" ref="L83:L117" si="14">IF(0.01&lt;I83,I83,-2)</f>
        <v>0.14744922589681234</v>
      </c>
      <c r="M83" s="7">
        <f t="shared" ref="M83:M117" si="15">MAX($I$18:$I$117)*EXP(-G83/$E$38)</f>
        <v>8.2081420619884521E-2</v>
      </c>
      <c r="N83" s="7">
        <f t="shared" ref="N83:N117" si="16">MAX($I$18:$I$117)*EXP(-G83/$E$39)</f>
        <v>0.18851046880376779</v>
      </c>
      <c r="O83" s="7">
        <f t="shared" ref="O83:O117" si="17">(G83-G82)*I83*(M83/MAX($I$18:$I$117))/(1-EXP(-1))</f>
        <v>1.3777598421632811E-3</v>
      </c>
      <c r="P83" s="7">
        <f t="shared" ref="P83:P117" si="18">(G83-G82)*I83*(N83/MAX($I$18:$I$117))/(1-EXP(-1))</f>
        <v>3.1642014938796834E-3</v>
      </c>
    </row>
    <row r="84" spans="1:16" x14ac:dyDescent="0.2">
      <c r="A84" s="9">
        <v>13400</v>
      </c>
      <c r="B84" s="9">
        <v>2.4294300000000001E-2</v>
      </c>
      <c r="C84" s="9">
        <v>0.557535</v>
      </c>
      <c r="G84" s="7">
        <f t="shared" si="12"/>
        <v>1.34</v>
      </c>
      <c r="H84" s="9">
        <f>dpa_conversion!B84+dpa_conversion!C84</f>
        <v>0.58182929999999999</v>
      </c>
      <c r="I84" s="7">
        <f t="shared" si="13"/>
        <v>0.13456304622683435</v>
      </c>
      <c r="J84" s="5">
        <f t="shared" si="10"/>
        <v>-2</v>
      </c>
      <c r="K84" s="5">
        <f t="shared" si="11"/>
        <v>0.13456304622683435</v>
      </c>
      <c r="L84" s="5">
        <f t="shared" si="14"/>
        <v>0.13456304622683435</v>
      </c>
      <c r="M84" s="7">
        <f t="shared" si="15"/>
        <v>8.0578489338256856E-2</v>
      </c>
      <c r="N84" s="7">
        <f t="shared" si="16"/>
        <v>0.18740483873439207</v>
      </c>
      <c r="O84" s="7">
        <f t="shared" si="17"/>
        <v>1.2343294531405027E-3</v>
      </c>
      <c r="P84" s="7">
        <f t="shared" si="18"/>
        <v>2.87073279743259E-3</v>
      </c>
    </row>
    <row r="85" spans="1:16" x14ac:dyDescent="0.2">
      <c r="A85" s="9">
        <v>13600</v>
      </c>
      <c r="B85" s="9">
        <v>2.2546199999999999E-2</v>
      </c>
      <c r="C85" s="9">
        <v>0.51655099999999998</v>
      </c>
      <c r="G85" s="7">
        <f t="shared" si="12"/>
        <v>1.36</v>
      </c>
      <c r="H85" s="9">
        <f>dpa_conversion!B85+dpa_conversion!C85</f>
        <v>0.53909719999999994</v>
      </c>
      <c r="I85" s="7">
        <f t="shared" si="13"/>
        <v>0.12468014492284414</v>
      </c>
      <c r="J85" s="5">
        <f t="shared" si="10"/>
        <v>-2</v>
      </c>
      <c r="K85" s="5">
        <f t="shared" si="11"/>
        <v>0.12468014492284414</v>
      </c>
      <c r="L85" s="5">
        <f t="shared" si="14"/>
        <v>0.12468014492284414</v>
      </c>
      <c r="M85" s="7">
        <f t="shared" si="15"/>
        <v>7.9103077103208019E-2</v>
      </c>
      <c r="N85" s="7">
        <f t="shared" si="16"/>
        <v>0.18630569328021079</v>
      </c>
      <c r="O85" s="7">
        <f t="shared" si="17"/>
        <v>1.1227339030175369E-3</v>
      </c>
      <c r="P85" s="7">
        <f t="shared" si="18"/>
        <v>2.6442930645791045E-3</v>
      </c>
    </row>
    <row r="86" spans="1:16" x14ac:dyDescent="0.2">
      <c r="A86" s="9">
        <v>13800</v>
      </c>
      <c r="B86" s="9">
        <v>2.0453699999999998E-2</v>
      </c>
      <c r="C86" s="9">
        <v>0.45818999999999999</v>
      </c>
      <c r="G86" s="7">
        <f t="shared" si="12"/>
        <v>1.38</v>
      </c>
      <c r="H86" s="9">
        <f>dpa_conversion!B86+dpa_conversion!C86</f>
        <v>0.47864370000000001</v>
      </c>
      <c r="I86" s="7">
        <f t="shared" si="13"/>
        <v>0.11069871237024854</v>
      </c>
      <c r="J86" s="5">
        <f t="shared" si="10"/>
        <v>-2</v>
      </c>
      <c r="K86" s="5">
        <f t="shared" si="11"/>
        <v>0.11069871237024854</v>
      </c>
      <c r="L86" s="5">
        <f t="shared" si="14"/>
        <v>0.11069871237024854</v>
      </c>
      <c r="M86" s="7">
        <f t="shared" si="15"/>
        <v>7.765468003413227E-2</v>
      </c>
      <c r="N86" s="7">
        <f t="shared" si="16"/>
        <v>0.18521299440839956</v>
      </c>
      <c r="O86" s="7">
        <f t="shared" si="17"/>
        <v>9.7858006593134952E-4</v>
      </c>
      <c r="P86" s="7">
        <f t="shared" si="18"/>
        <v>2.3339964081990901E-3</v>
      </c>
    </row>
    <row r="87" spans="1:16" x14ac:dyDescent="0.2">
      <c r="A87" s="9">
        <v>14000</v>
      </c>
      <c r="B87" s="9">
        <v>1.8858199999999999E-2</v>
      </c>
      <c r="C87" s="9">
        <v>0.420344</v>
      </c>
      <c r="G87" s="7">
        <f t="shared" si="12"/>
        <v>1.4</v>
      </c>
      <c r="H87" s="9">
        <f>dpa_conversion!B87+dpa_conversion!C87</f>
        <v>0.43920219999999999</v>
      </c>
      <c r="I87" s="7">
        <f t="shared" si="13"/>
        <v>0.1015768472669344</v>
      </c>
      <c r="J87" s="5">
        <f t="shared" si="10"/>
        <v>-2</v>
      </c>
      <c r="K87" s="5">
        <f t="shared" si="11"/>
        <v>0.1015768472669344</v>
      </c>
      <c r="L87" s="5">
        <f t="shared" si="14"/>
        <v>0.1015768472669344</v>
      </c>
      <c r="M87" s="7">
        <f t="shared" si="15"/>
        <v>7.6232803476603356E-2</v>
      </c>
      <c r="N87" s="7">
        <f t="shared" si="16"/>
        <v>0.18412670430919978</v>
      </c>
      <c r="O87" s="7">
        <f t="shared" si="17"/>
        <v>8.8150094324088353E-4</v>
      </c>
      <c r="P87" s="7">
        <f t="shared" si="18"/>
        <v>2.1291078921714958E-3</v>
      </c>
    </row>
    <row r="88" spans="1:16" x14ac:dyDescent="0.2">
      <c r="A88" s="9">
        <v>14200</v>
      </c>
      <c r="B88" s="9">
        <v>1.6868000000000001E-2</v>
      </c>
      <c r="C88" s="9">
        <v>0.37204799999999999</v>
      </c>
      <c r="G88" s="7">
        <f t="shared" si="12"/>
        <v>1.42</v>
      </c>
      <c r="H88" s="9">
        <f>dpa_conversion!B88+dpa_conversion!C88</f>
        <v>0.38891599999999998</v>
      </c>
      <c r="I88" s="7">
        <f t="shared" si="13"/>
        <v>8.9946865320044062E-2</v>
      </c>
      <c r="J88" s="5">
        <f t="shared" si="10"/>
        <v>-2</v>
      </c>
      <c r="K88" s="5">
        <f t="shared" si="11"/>
        <v>8.9946865320044062E-2</v>
      </c>
      <c r="L88" s="5">
        <f t="shared" si="14"/>
        <v>8.9946865320044062E-2</v>
      </c>
      <c r="M88" s="7">
        <f t="shared" si="15"/>
        <v>7.4836961833441004E-2</v>
      </c>
      <c r="N88" s="7">
        <f t="shared" si="16"/>
        <v>0.18304678539461039</v>
      </c>
      <c r="O88" s="7">
        <f t="shared" si="17"/>
        <v>7.6628150160541893E-4</v>
      </c>
      <c r="P88" s="7">
        <f t="shared" si="18"/>
        <v>1.8742792617424129E-3</v>
      </c>
    </row>
    <row r="89" spans="1:16" x14ac:dyDescent="0.2">
      <c r="A89" s="9">
        <v>14400</v>
      </c>
      <c r="B89" s="9">
        <v>1.50688E-2</v>
      </c>
      <c r="C89" s="9">
        <v>0.33215600000000001</v>
      </c>
      <c r="G89" s="7">
        <f t="shared" si="12"/>
        <v>1.44</v>
      </c>
      <c r="H89" s="9">
        <f>dpa_conversion!B89+dpa_conversion!C89</f>
        <v>0.3472248</v>
      </c>
      <c r="I89" s="7">
        <f t="shared" si="13"/>
        <v>8.0304699013101125E-2</v>
      </c>
      <c r="J89" s="5">
        <f t="shared" si="10"/>
        <v>-2</v>
      </c>
      <c r="K89" s="5">
        <f t="shared" si="11"/>
        <v>8.0304699013101125E-2</v>
      </c>
      <c r="L89" s="5">
        <f t="shared" si="14"/>
        <v>8.0304699013101125E-2</v>
      </c>
      <c r="M89" s="7">
        <f t="shared" si="15"/>
        <v>7.3466678398870333E-2</v>
      </c>
      <c r="N89" s="7">
        <f t="shared" si="16"/>
        <v>0.18197320029708716</v>
      </c>
      <c r="O89" s="7">
        <f t="shared" si="17"/>
        <v>6.7161057282648514E-4</v>
      </c>
      <c r="P89" s="7">
        <f t="shared" si="18"/>
        <v>1.663544996917605E-3</v>
      </c>
    </row>
    <row r="90" spans="1:16" x14ac:dyDescent="0.2">
      <c r="A90" s="9">
        <v>14600</v>
      </c>
      <c r="B90" s="9">
        <v>1.3268200000000001E-2</v>
      </c>
      <c r="C90" s="9">
        <v>0.28929700000000003</v>
      </c>
      <c r="G90" s="7">
        <f t="shared" si="12"/>
        <v>1.46</v>
      </c>
      <c r="H90" s="9">
        <f>dpa_conversion!B90+dpa_conversion!C90</f>
        <v>0.30256520000000003</v>
      </c>
      <c r="I90" s="7">
        <f t="shared" si="13"/>
        <v>6.9976013573450832E-2</v>
      </c>
      <c r="J90" s="5">
        <f t="shared" si="10"/>
        <v>-2</v>
      </c>
      <c r="K90" s="5">
        <f t="shared" si="11"/>
        <v>6.9976013573450832E-2</v>
      </c>
      <c r="L90" s="5">
        <f t="shared" si="14"/>
        <v>6.9976013573450832E-2</v>
      </c>
      <c r="M90" s="7">
        <f t="shared" si="15"/>
        <v>7.2121485195718191E-2</v>
      </c>
      <c r="N90" s="7">
        <f t="shared" si="16"/>
        <v>0.18090591186824972</v>
      </c>
      <c r="O90" s="7">
        <f t="shared" si="17"/>
        <v>5.7451321157090578E-4</v>
      </c>
      <c r="P90" s="7">
        <f t="shared" si="18"/>
        <v>1.441080090593612E-3</v>
      </c>
    </row>
    <row r="91" spans="1:16" x14ac:dyDescent="0.2">
      <c r="A91" s="9">
        <v>14800</v>
      </c>
      <c r="B91" s="9">
        <v>1.1435799999999999E-2</v>
      </c>
      <c r="C91" s="9">
        <v>0.24539800000000001</v>
      </c>
      <c r="G91" s="7">
        <f t="shared" si="12"/>
        <v>1.48</v>
      </c>
      <c r="H91" s="9">
        <f>dpa_conversion!B91+dpa_conversion!C91</f>
        <v>0.2568338</v>
      </c>
      <c r="I91" s="7">
        <f t="shared" si="13"/>
        <v>5.9399446714033709E-2</v>
      </c>
      <c r="J91" s="5">
        <f t="shared" si="10"/>
        <v>-2</v>
      </c>
      <c r="K91" s="5">
        <f t="shared" si="11"/>
        <v>5.9399446714033709E-2</v>
      </c>
      <c r="L91" s="5">
        <f t="shared" si="14"/>
        <v>5.9399446714033709E-2</v>
      </c>
      <c r="M91" s="7">
        <f t="shared" si="15"/>
        <v>7.0800922815590098E-2</v>
      </c>
      <c r="N91" s="7">
        <f t="shared" si="16"/>
        <v>0.17984488317759606</v>
      </c>
      <c r="O91" s="7">
        <f t="shared" si="17"/>
        <v>4.7874855802729265E-4</v>
      </c>
      <c r="P91" s="7">
        <f t="shared" si="18"/>
        <v>1.2160926025515308E-3</v>
      </c>
    </row>
    <row r="92" spans="1:16" x14ac:dyDescent="0.2">
      <c r="A92" s="9">
        <v>15000</v>
      </c>
      <c r="B92" s="9">
        <v>9.9648700000000007E-3</v>
      </c>
      <c r="C92" s="9">
        <v>0.21042</v>
      </c>
      <c r="G92" s="7">
        <f t="shared" si="12"/>
        <v>1.5</v>
      </c>
      <c r="H92" s="9">
        <f>dpa_conversion!B92+dpa_conversion!C92</f>
        <v>0.22038487000000001</v>
      </c>
      <c r="I92" s="7">
        <f t="shared" si="13"/>
        <v>5.096969067990368E-2</v>
      </c>
      <c r="J92" s="5">
        <f t="shared" si="10"/>
        <v>-2</v>
      </c>
      <c r="K92" s="5">
        <f t="shared" si="11"/>
        <v>5.096969067990368E-2</v>
      </c>
      <c r="L92" s="5">
        <f t="shared" si="14"/>
        <v>5.096969067990368E-2</v>
      </c>
      <c r="M92" s="7">
        <f t="shared" si="15"/>
        <v>6.9504540261973821E-2</v>
      </c>
      <c r="N92" s="7">
        <f t="shared" si="16"/>
        <v>0.17879007751122483</v>
      </c>
      <c r="O92" s="7">
        <f t="shared" si="17"/>
        <v>4.0328431749597391E-4</v>
      </c>
      <c r="P92" s="7">
        <f t="shared" si="18"/>
        <v>1.0373888398138866E-3</v>
      </c>
    </row>
    <row r="93" spans="1:16" x14ac:dyDescent="0.2">
      <c r="A93" s="9">
        <v>15200</v>
      </c>
      <c r="B93" s="9">
        <v>8.5426100000000008E-3</v>
      </c>
      <c r="C93" s="9">
        <v>0.17654900000000001</v>
      </c>
      <c r="G93" s="7">
        <f t="shared" si="12"/>
        <v>1.52</v>
      </c>
      <c r="H93" s="9">
        <f>dpa_conversion!B93+dpa_conversion!C93</f>
        <v>0.18509161000000002</v>
      </c>
      <c r="I93" s="7">
        <f t="shared" si="13"/>
        <v>4.2807213168242306E-2</v>
      </c>
      <c r="J93" s="5">
        <f t="shared" si="10"/>
        <v>-2</v>
      </c>
      <c r="K93" s="5">
        <f t="shared" si="11"/>
        <v>4.2807213168242306E-2</v>
      </c>
      <c r="L93" s="5">
        <f t="shared" si="14"/>
        <v>4.2807213168242306E-2</v>
      </c>
      <c r="M93" s="7">
        <f t="shared" si="15"/>
        <v>6.8231894796215845E-2</v>
      </c>
      <c r="N93" s="7">
        <f t="shared" si="16"/>
        <v>0.17774145837056485</v>
      </c>
      <c r="O93" s="7">
        <f t="shared" si="17"/>
        <v>3.3249915660776456E-4</v>
      </c>
      <c r="P93" s="7">
        <f t="shared" si="18"/>
        <v>8.661474985995044E-4</v>
      </c>
    </row>
    <row r="94" spans="1:16" x14ac:dyDescent="0.2">
      <c r="A94" s="9">
        <v>15400</v>
      </c>
      <c r="B94" s="9">
        <v>7.1889299999999996E-3</v>
      </c>
      <c r="C94" s="9">
        <v>0.149808</v>
      </c>
      <c r="G94" s="7">
        <f t="shared" si="12"/>
        <v>1.54</v>
      </c>
      <c r="H94" s="9">
        <f>dpa_conversion!B94+dpa_conversion!C94</f>
        <v>0.15699693000000001</v>
      </c>
      <c r="I94" s="7">
        <f t="shared" si="13"/>
        <v>3.6309593121317679E-2</v>
      </c>
      <c r="J94" s="5">
        <f t="shared" si="10"/>
        <v>-2</v>
      </c>
      <c r="K94" s="5">
        <f t="shared" si="11"/>
        <v>3.6309593121317679E-2</v>
      </c>
      <c r="L94" s="5">
        <f t="shared" si="14"/>
        <v>3.6309593121317679E-2</v>
      </c>
      <c r="M94" s="7">
        <f t="shared" si="15"/>
        <v>6.6982551786317721E-2</v>
      </c>
      <c r="N94" s="7">
        <f t="shared" si="16"/>
        <v>0.17669898947111212</v>
      </c>
      <c r="O94" s="7">
        <f t="shared" si="17"/>
        <v>2.7686574846079616E-4</v>
      </c>
      <c r="P94" s="7">
        <f t="shared" si="18"/>
        <v>7.3036778485615847E-4</v>
      </c>
    </row>
    <row r="95" spans="1:16" x14ac:dyDescent="0.2">
      <c r="A95" s="9">
        <v>15600</v>
      </c>
      <c r="B95" s="9">
        <v>6.1074099999999997E-3</v>
      </c>
      <c r="C95" s="9">
        <v>0.127778</v>
      </c>
      <c r="G95" s="7">
        <f t="shared" si="12"/>
        <v>1.56</v>
      </c>
      <c r="H95" s="9">
        <f>dpa_conversion!B95+dpa_conversion!C95</f>
        <v>0.13388541000000001</v>
      </c>
      <c r="I95" s="7">
        <f t="shared" si="13"/>
        <v>3.0964457470479184E-2</v>
      </c>
      <c r="J95" s="5">
        <f t="shared" si="10"/>
        <v>-2</v>
      </c>
      <c r="K95" s="5">
        <f t="shared" si="11"/>
        <v>3.0964457470479184E-2</v>
      </c>
      <c r="L95" s="5">
        <f t="shared" si="14"/>
        <v>3.0964457470479184E-2</v>
      </c>
      <c r="M95" s="7">
        <f t="shared" si="15"/>
        <v>6.5756084558501321E-2</v>
      </c>
      <c r="N95" s="7">
        <f t="shared" si="16"/>
        <v>0.17566263474117438</v>
      </c>
      <c r="O95" s="7">
        <f t="shared" si="17"/>
        <v>2.3178513566278613E-4</v>
      </c>
      <c r="P95" s="7">
        <f t="shared" si="18"/>
        <v>6.1919726361051334E-4</v>
      </c>
    </row>
    <row r="96" spans="1:16" x14ac:dyDescent="0.2">
      <c r="A96" s="9">
        <v>15800</v>
      </c>
      <c r="B96" s="9">
        <v>5.1074800000000002E-3</v>
      </c>
      <c r="C96" s="9">
        <v>0.104115</v>
      </c>
      <c r="G96" s="7">
        <f t="shared" si="12"/>
        <v>1.58</v>
      </c>
      <c r="H96" s="9">
        <f>dpa_conversion!B96+dpa_conversion!C96</f>
        <v>0.10922248</v>
      </c>
      <c r="I96" s="7">
        <f t="shared" si="13"/>
        <v>2.5260518205682474E-2</v>
      </c>
      <c r="J96" s="5">
        <f t="shared" si="10"/>
        <v>-2</v>
      </c>
      <c r="K96" s="5">
        <f t="shared" si="11"/>
        <v>2.5260518205682474E-2</v>
      </c>
      <c r="L96" s="5">
        <f t="shared" si="14"/>
        <v>2.5260518205682474E-2</v>
      </c>
      <c r="M96" s="7">
        <f t="shared" si="15"/>
        <v>6.4552074251491801E-2</v>
      </c>
      <c r="N96" s="7">
        <f t="shared" si="16"/>
        <v>0.17463235832062302</v>
      </c>
      <c r="O96" s="7">
        <f t="shared" si="17"/>
        <v>1.8562591975349144E-4</v>
      </c>
      <c r="P96" s="7">
        <f t="shared" si="18"/>
        <v>5.0217274205155058E-4</v>
      </c>
    </row>
    <row r="97" spans="1:16" x14ac:dyDescent="0.2">
      <c r="A97" s="9">
        <v>16000</v>
      </c>
      <c r="B97" s="9">
        <v>4.2984800000000004E-3</v>
      </c>
      <c r="C97" s="9">
        <v>8.58371E-2</v>
      </c>
      <c r="G97" s="7">
        <f t="shared" si="12"/>
        <v>1.6</v>
      </c>
      <c r="H97" s="9">
        <f>dpa_conversion!B97+dpa_conversion!C97</f>
        <v>9.0135579999999993E-2</v>
      </c>
      <c r="I97" s="7">
        <f t="shared" si="13"/>
        <v>2.0846179830102275E-2</v>
      </c>
      <c r="J97" s="5">
        <f t="shared" si="10"/>
        <v>-2</v>
      </c>
      <c r="K97" s="5">
        <f t="shared" si="11"/>
        <v>2.0846179830102275E-2</v>
      </c>
      <c r="L97" s="5">
        <f t="shared" si="14"/>
        <v>2.0846179830102275E-2</v>
      </c>
      <c r="M97" s="7">
        <f t="shared" si="15"/>
        <v>6.3370109673468705E-2</v>
      </c>
      <c r="N97" s="7">
        <f t="shared" si="16"/>
        <v>0.17360812455965213</v>
      </c>
      <c r="O97" s="7">
        <f t="shared" si="17"/>
        <v>1.5038243046199242E-4</v>
      </c>
      <c r="P97" s="7">
        <f t="shared" si="18"/>
        <v>4.1198621643161415E-4</v>
      </c>
    </row>
    <row r="98" spans="1:16" x14ac:dyDescent="0.2">
      <c r="A98" s="9">
        <v>16200</v>
      </c>
      <c r="B98" s="9">
        <v>3.4459400000000002E-3</v>
      </c>
      <c r="C98" s="9">
        <v>6.8182199999999998E-2</v>
      </c>
      <c r="G98" s="7">
        <f t="shared" si="12"/>
        <v>1.62</v>
      </c>
      <c r="H98" s="9">
        <f>dpa_conversion!B98+dpa_conversion!C98</f>
        <v>7.1628139999999993E-2</v>
      </c>
      <c r="I98" s="7">
        <f t="shared" si="13"/>
        <v>1.6565856538957667E-2</v>
      </c>
      <c r="J98" s="5">
        <f t="shared" si="10"/>
        <v>-2</v>
      </c>
      <c r="K98" s="5">
        <f t="shared" si="11"/>
        <v>1.6565856538957667E-2</v>
      </c>
      <c r="L98" s="5">
        <f t="shared" si="14"/>
        <v>1.6565856538957667E-2</v>
      </c>
      <c r="M98" s="7">
        <f t="shared" si="15"/>
        <v>6.2209787161636353E-2</v>
      </c>
      <c r="N98" s="7">
        <f t="shared" si="16"/>
        <v>0.1725898980175449</v>
      </c>
      <c r="O98" s="7">
        <f t="shared" si="17"/>
        <v>1.1731641209837067E-4</v>
      </c>
      <c r="P98" s="7">
        <f t="shared" si="18"/>
        <v>3.2547334629571623E-4</v>
      </c>
    </row>
    <row r="99" spans="1:16" x14ac:dyDescent="0.2">
      <c r="A99" s="9">
        <v>16400</v>
      </c>
      <c r="B99" s="9">
        <v>2.6756800000000002E-3</v>
      </c>
      <c r="C99" s="9">
        <v>5.3400599999999999E-2</v>
      </c>
      <c r="G99" s="7">
        <f t="shared" si="12"/>
        <v>1.64</v>
      </c>
      <c r="H99" s="9">
        <f>dpa_conversion!B99+dpa_conversion!C99</f>
        <v>5.6076279999999999E-2</v>
      </c>
      <c r="I99" s="7">
        <f t="shared" si="13"/>
        <v>1.296908742455718E-2</v>
      </c>
      <c r="J99" s="5">
        <f t="shared" si="10"/>
        <v>-2</v>
      </c>
      <c r="K99" s="5">
        <f t="shared" si="11"/>
        <v>1.296908742455718E-2</v>
      </c>
      <c r="L99" s="5">
        <f t="shared" si="14"/>
        <v>1.296908742455718E-2</v>
      </c>
      <c r="M99" s="7">
        <f t="shared" si="15"/>
        <v>6.1070710444365559E-2</v>
      </c>
      <c r="N99" s="7">
        <f t="shared" si="16"/>
        <v>0.17157764346144744</v>
      </c>
      <c r="O99" s="7">
        <f t="shared" si="17"/>
        <v>9.0163040980721038E-5</v>
      </c>
      <c r="P99" s="7">
        <f t="shared" si="18"/>
        <v>2.5331229956597468E-4</v>
      </c>
    </row>
    <row r="100" spans="1:16" x14ac:dyDescent="0.2">
      <c r="A100" s="9">
        <v>16600</v>
      </c>
      <c r="B100" s="9">
        <v>2.1562199999999999E-3</v>
      </c>
      <c r="C100" s="9">
        <v>4.1769599999999997E-2</v>
      </c>
      <c r="G100" s="7">
        <f t="shared" si="12"/>
        <v>1.66</v>
      </c>
      <c r="H100" s="9">
        <f>dpa_conversion!B100+dpa_conversion!C100</f>
        <v>4.3925819999999997E-2</v>
      </c>
      <c r="I100" s="7">
        <f t="shared" si="13"/>
        <v>1.0158979871263971E-2</v>
      </c>
      <c r="J100" s="5">
        <f t="shared" si="10"/>
        <v>-2</v>
      </c>
      <c r="K100" s="5">
        <f t="shared" si="11"/>
        <v>1.0158979871263971E-2</v>
      </c>
      <c r="L100" s="5">
        <f t="shared" si="14"/>
        <v>1.0158979871263971E-2</v>
      </c>
      <c r="M100" s="7">
        <f t="shared" si="15"/>
        <v>5.9952490505859449E-2</v>
      </c>
      <c r="N100" s="7">
        <f t="shared" si="16"/>
        <v>0.17057132586514956</v>
      </c>
      <c r="O100" s="7">
        <f t="shared" si="17"/>
        <v>6.9333558349640159E-5</v>
      </c>
      <c r="P100" s="7">
        <f t="shared" si="18"/>
        <v>1.9726147946249188E-4</v>
      </c>
    </row>
    <row r="101" spans="1:16" x14ac:dyDescent="0.2">
      <c r="A101" s="9">
        <v>16800</v>
      </c>
      <c r="B101" s="9">
        <v>1.6823999999999999E-3</v>
      </c>
      <c r="C101" s="9">
        <v>3.2101499999999998E-2</v>
      </c>
      <c r="G101" s="7">
        <f t="shared" si="12"/>
        <v>1.68</v>
      </c>
      <c r="H101" s="9">
        <f>dpa_conversion!B101+dpa_conversion!C101</f>
        <v>3.3783899999999999E-2</v>
      </c>
      <c r="I101" s="7">
        <f t="shared" si="13"/>
        <v>7.8133990457729605E-3</v>
      </c>
      <c r="J101" s="5">
        <f t="shared" si="10"/>
        <v>-2</v>
      </c>
      <c r="K101" s="5">
        <f t="shared" si="11"/>
        <v>7.8133990457729605E-3</v>
      </c>
      <c r="L101" s="5">
        <f t="shared" si="14"/>
        <v>-2</v>
      </c>
      <c r="M101" s="7">
        <f t="shared" si="15"/>
        <v>5.8854745453297407E-2</v>
      </c>
      <c r="N101" s="7">
        <f t="shared" si="16"/>
        <v>0.16957091040787273</v>
      </c>
      <c r="O101" s="7">
        <f t="shared" si="17"/>
        <v>5.2348911022227235E-5</v>
      </c>
      <c r="P101" s="7">
        <f t="shared" si="18"/>
        <v>1.508264530333205E-4</v>
      </c>
    </row>
    <row r="102" spans="1:16" x14ac:dyDescent="0.2">
      <c r="A102" s="9">
        <v>17000</v>
      </c>
      <c r="B102" s="9">
        <v>1.27406E-3</v>
      </c>
      <c r="C102" s="9">
        <v>2.4624900000000002E-2</v>
      </c>
      <c r="G102" s="7">
        <f t="shared" si="12"/>
        <v>1.7</v>
      </c>
      <c r="H102" s="9">
        <f>dpa_conversion!B102+dpa_conversion!C102</f>
        <v>2.5898960000000002E-2</v>
      </c>
      <c r="I102" s="7">
        <f t="shared" si="13"/>
        <v>5.9898031118524528E-3</v>
      </c>
      <c r="J102" s="5">
        <f t="shared" si="10"/>
        <v>-2</v>
      </c>
      <c r="K102" s="5">
        <f t="shared" si="11"/>
        <v>5.9898031118524528E-3</v>
      </c>
      <c r="L102" s="5">
        <f t="shared" si="14"/>
        <v>-2</v>
      </c>
      <c r="M102" s="7">
        <f t="shared" si="15"/>
        <v>5.7777100386411651E-2</v>
      </c>
      <c r="N102" s="7">
        <f t="shared" si="16"/>
        <v>0.16857636247306534</v>
      </c>
      <c r="O102" s="7">
        <f t="shared" si="17"/>
        <v>3.9396210609693944E-5</v>
      </c>
      <c r="P102" s="7">
        <f t="shared" si="18"/>
        <v>1.1494640325299054E-4</v>
      </c>
    </row>
    <row r="103" spans="1:16" x14ac:dyDescent="0.2">
      <c r="A103" s="9">
        <v>17200</v>
      </c>
      <c r="B103" s="9">
        <v>9.2924499999999998E-4</v>
      </c>
      <c r="C103" s="9">
        <v>1.7787799999999999E-2</v>
      </c>
      <c r="G103" s="7">
        <f t="shared" si="12"/>
        <v>1.72</v>
      </c>
      <c r="H103" s="9">
        <f>dpa_conversion!B103+dpa_conversion!C103</f>
        <v>1.8717044999999998E-2</v>
      </c>
      <c r="I103" s="7">
        <f t="shared" si="13"/>
        <v>4.3287998585920971E-3</v>
      </c>
      <c r="J103" s="5">
        <f t="shared" si="10"/>
        <v>-2</v>
      </c>
      <c r="K103" s="5">
        <f t="shared" si="11"/>
        <v>4.3287998585920971E-3</v>
      </c>
      <c r="L103" s="5">
        <f t="shared" si="14"/>
        <v>-2</v>
      </c>
      <c r="M103" s="7">
        <f t="shared" si="15"/>
        <v>5.6719187269451743E-2</v>
      </c>
      <c r="N103" s="7">
        <f t="shared" si="16"/>
        <v>0.16758764764720488</v>
      </c>
      <c r="O103" s="7">
        <f t="shared" si="17"/>
        <v>2.7950119359021204E-5</v>
      </c>
      <c r="P103" s="7">
        <f t="shared" si="18"/>
        <v>8.2583954043357043E-5</v>
      </c>
    </row>
    <row r="104" spans="1:16" x14ac:dyDescent="0.2">
      <c r="A104" s="9">
        <v>17400</v>
      </c>
      <c r="B104" s="9">
        <v>6.7723100000000004E-4</v>
      </c>
      <c r="C104" s="9">
        <v>1.3145499999999999E-2</v>
      </c>
      <c r="G104" s="7">
        <f t="shared" si="12"/>
        <v>1.74</v>
      </c>
      <c r="H104" s="9">
        <f>dpa_conversion!B104+dpa_conversion!C104</f>
        <v>1.3822731E-2</v>
      </c>
      <c r="I104" s="7">
        <f t="shared" si="13"/>
        <v>3.1968633936690647E-3</v>
      </c>
      <c r="J104" s="5">
        <f t="shared" si="10"/>
        <v>-2</v>
      </c>
      <c r="K104" s="5">
        <f t="shared" si="11"/>
        <v>3.1968633936690647E-3</v>
      </c>
      <c r="L104" s="5">
        <f t="shared" si="14"/>
        <v>-2</v>
      </c>
      <c r="M104" s="7">
        <f t="shared" si="15"/>
        <v>5.5680644805493645E-2</v>
      </c>
      <c r="N104" s="7">
        <f t="shared" si="16"/>
        <v>0.16660473171860693</v>
      </c>
      <c r="O104" s="7">
        <f t="shared" si="17"/>
        <v>2.0263501623232802E-5</v>
      </c>
      <c r="P104" s="7">
        <f t="shared" si="18"/>
        <v>6.0631396482771503E-5</v>
      </c>
    </row>
    <row r="105" spans="1:16" x14ac:dyDescent="0.2">
      <c r="A105" s="9">
        <v>17600</v>
      </c>
      <c r="B105" s="9">
        <v>4.8966700000000005E-4</v>
      </c>
      <c r="C105" s="9">
        <v>9.0871000000000007E-3</v>
      </c>
      <c r="G105" s="7">
        <f t="shared" si="12"/>
        <v>1.76</v>
      </c>
      <c r="H105" s="9">
        <f>dpa_conversion!B105+dpa_conversion!C105</f>
        <v>9.5767669999999999E-3</v>
      </c>
      <c r="I105" s="7">
        <f t="shared" si="13"/>
        <v>2.2148746041573053E-3</v>
      </c>
      <c r="J105" s="5">
        <f t="shared" si="10"/>
        <v>-2</v>
      </c>
      <c r="K105" s="5">
        <f t="shared" si="11"/>
        <v>2.2148746041573053E-3</v>
      </c>
      <c r="L105" s="5">
        <f t="shared" si="14"/>
        <v>-2</v>
      </c>
      <c r="M105" s="7">
        <f t="shared" si="15"/>
        <v>5.4661118313050081E-2</v>
      </c>
      <c r="N105" s="7">
        <f t="shared" si="16"/>
        <v>0.16562758067624167</v>
      </c>
      <c r="O105" s="7">
        <f t="shared" si="17"/>
        <v>1.3782049872044324E-5</v>
      </c>
      <c r="P105" s="7">
        <f t="shared" si="18"/>
        <v>4.1760718542068815E-5</v>
      </c>
    </row>
    <row r="106" spans="1:16" x14ac:dyDescent="0.2">
      <c r="A106" s="9">
        <v>17800</v>
      </c>
      <c r="B106" s="9">
        <v>3.2928200000000002E-4</v>
      </c>
      <c r="C106" s="9">
        <v>5.3159699999999997E-3</v>
      </c>
      <c r="G106" s="7">
        <f t="shared" si="12"/>
        <v>1.78</v>
      </c>
      <c r="H106" s="9">
        <f>dpa_conversion!B106+dpa_conversion!C106</f>
        <v>5.6452519999999999E-3</v>
      </c>
      <c r="I106" s="7">
        <f t="shared" si="13"/>
        <v>1.3056102637631504E-3</v>
      </c>
      <c r="J106" s="5">
        <f t="shared" si="10"/>
        <v>-2</v>
      </c>
      <c r="K106" s="5">
        <f t="shared" si="11"/>
        <v>1.3056102637631504E-3</v>
      </c>
      <c r="L106" s="5">
        <f t="shared" si="14"/>
        <v>-2</v>
      </c>
      <c r="M106" s="7">
        <f t="shared" si="15"/>
        <v>5.3660259604940294E-2</v>
      </c>
      <c r="N106" s="7">
        <f t="shared" si="16"/>
        <v>0.16465616070855688</v>
      </c>
      <c r="O106" s="7">
        <f t="shared" si="17"/>
        <v>7.9754002184061528E-6</v>
      </c>
      <c r="P106" s="7">
        <f t="shared" si="18"/>
        <v>2.4472464161467493E-5</v>
      </c>
    </row>
    <row r="107" spans="1:16" x14ac:dyDescent="0.2">
      <c r="A107" s="9">
        <v>18000</v>
      </c>
      <c r="B107" s="9">
        <v>1.9504900000000001E-4</v>
      </c>
      <c r="C107" s="9">
        <v>3.9615600000000003E-3</v>
      </c>
      <c r="G107" s="7">
        <f t="shared" si="12"/>
        <v>1.8</v>
      </c>
      <c r="H107" s="9">
        <f>dpa_conversion!B107+dpa_conversion!C107</f>
        <v>4.1566090000000003E-3</v>
      </c>
      <c r="I107" s="7">
        <f t="shared" si="13"/>
        <v>9.6132313895824057E-4</v>
      </c>
      <c r="J107" s="5">
        <f t="shared" si="10"/>
        <v>-2</v>
      </c>
      <c r="K107" s="5">
        <f t="shared" si="11"/>
        <v>9.6132313895824057E-4</v>
      </c>
      <c r="L107" s="5">
        <f t="shared" si="14"/>
        <v>-2</v>
      </c>
      <c r="M107" s="7">
        <f t="shared" si="15"/>
        <v>5.2677726869377627E-2</v>
      </c>
      <c r="N107" s="7">
        <f t="shared" si="16"/>
        <v>0.16369043820230791</v>
      </c>
      <c r="O107" s="7">
        <f t="shared" si="17"/>
        <v>5.7647779409852461E-6</v>
      </c>
      <c r="P107" s="7">
        <f t="shared" si="18"/>
        <v>1.7913434830602483E-5</v>
      </c>
    </row>
    <row r="108" spans="1:16" x14ac:dyDescent="0.2">
      <c r="A108" s="9">
        <v>18200</v>
      </c>
      <c r="B108" s="9">
        <v>1.45554E-4</v>
      </c>
      <c r="C108" s="9">
        <v>2.5162399999999999E-3</v>
      </c>
      <c r="G108" s="7">
        <f t="shared" si="12"/>
        <v>1.82</v>
      </c>
      <c r="H108" s="9">
        <f>dpa_conversion!B108+dpa_conversion!C108</f>
        <v>2.6617939999999999E-3</v>
      </c>
      <c r="I108" s="7">
        <f t="shared" si="13"/>
        <v>6.1560857981595352E-4</v>
      </c>
      <c r="J108" s="5">
        <f t="shared" si="10"/>
        <v>-2</v>
      </c>
      <c r="K108" s="5">
        <f t="shared" si="11"/>
        <v>6.1560857981595352E-4</v>
      </c>
      <c r="L108" s="5">
        <f t="shared" si="14"/>
        <v>-2</v>
      </c>
      <c r="M108" s="7">
        <f t="shared" si="15"/>
        <v>5.171318455323444E-2</v>
      </c>
      <c r="N108" s="7">
        <f t="shared" si="16"/>
        <v>0.16273037974139481</v>
      </c>
      <c r="O108" s="7">
        <f t="shared" si="17"/>
        <v>3.6240327011623579E-6</v>
      </c>
      <c r="P108" s="7">
        <f t="shared" si="18"/>
        <v>1.1404059192067248E-5</v>
      </c>
    </row>
    <row r="109" spans="1:16" x14ac:dyDescent="0.2">
      <c r="A109" s="9">
        <v>18400</v>
      </c>
      <c r="B109" s="9">
        <v>1.08603E-4</v>
      </c>
      <c r="C109" s="9">
        <v>1.6881999999999999E-3</v>
      </c>
      <c r="G109" s="7">
        <f t="shared" si="12"/>
        <v>1.84</v>
      </c>
      <c r="H109" s="9">
        <f>dpa_conversion!B109+dpa_conversion!C109</f>
        <v>1.796803E-3</v>
      </c>
      <c r="I109" s="7">
        <f t="shared" si="13"/>
        <v>4.155570803146468E-4</v>
      </c>
      <c r="J109" s="5">
        <f t="shared" si="10"/>
        <v>-2</v>
      </c>
      <c r="K109" s="5">
        <f t="shared" si="11"/>
        <v>4.155570803146468E-4</v>
      </c>
      <c r="L109" s="5">
        <f t="shared" si="14"/>
        <v>-2</v>
      </c>
      <c r="M109" s="7">
        <f t="shared" si="15"/>
        <v>5.0766303247444612E-2</v>
      </c>
      <c r="N109" s="7">
        <f t="shared" si="16"/>
        <v>0.16177595210570578</v>
      </c>
      <c r="O109" s="7">
        <f t="shared" si="17"/>
        <v>2.4015541683947137E-6</v>
      </c>
      <c r="P109" s="7">
        <f t="shared" si="18"/>
        <v>7.6529841109720266E-6</v>
      </c>
    </row>
    <row r="110" spans="1:16" x14ac:dyDescent="0.2">
      <c r="A110" s="9">
        <v>18600</v>
      </c>
      <c r="B110" s="9">
        <v>6.76017E-5</v>
      </c>
      <c r="C110" s="9">
        <v>1.1376800000000001E-3</v>
      </c>
      <c r="G110" s="7">
        <f t="shared" si="12"/>
        <v>1.86</v>
      </c>
      <c r="H110" s="9">
        <f>dpa_conversion!B110+dpa_conversion!C110</f>
        <v>1.2052817000000001E-3</v>
      </c>
      <c r="I110" s="7">
        <f t="shared" si="13"/>
        <v>2.7875250887753083E-4</v>
      </c>
      <c r="J110" s="5">
        <f t="shared" si="10"/>
        <v>-2</v>
      </c>
      <c r="K110" s="5">
        <f t="shared" si="11"/>
        <v>2.7875250887753083E-4</v>
      </c>
      <c r="L110" s="5">
        <f t="shared" si="14"/>
        <v>-2</v>
      </c>
      <c r="M110" s="7">
        <f t="shared" si="15"/>
        <v>4.9836759574504133E-2</v>
      </c>
      <c r="N110" s="7">
        <f t="shared" si="16"/>
        <v>0.1608271222699679</v>
      </c>
      <c r="O110" s="7">
        <f t="shared" si="17"/>
        <v>1.5814473658756017E-6</v>
      </c>
      <c r="P110" s="7">
        <f t="shared" si="18"/>
        <v>5.1034543787897284E-6</v>
      </c>
    </row>
    <row r="111" spans="1:16" x14ac:dyDescent="0.2">
      <c r="A111" s="9">
        <v>18800</v>
      </c>
      <c r="B111" s="9">
        <v>3.6800700000000002E-5</v>
      </c>
      <c r="C111" s="9">
        <v>6.9046299999999999E-4</v>
      </c>
      <c r="G111" s="7">
        <f t="shared" si="12"/>
        <v>1.88</v>
      </c>
      <c r="H111" s="9">
        <f>dpa_conversion!B111+dpa_conversion!C111</f>
        <v>7.2726370000000004E-4</v>
      </c>
      <c r="I111" s="7">
        <f t="shared" si="13"/>
        <v>1.6819850578545737E-4</v>
      </c>
      <c r="J111" s="5">
        <f t="shared" si="10"/>
        <v>-2</v>
      </c>
      <c r="K111" s="5">
        <f t="shared" si="11"/>
        <v>1.6819850578545737E-4</v>
      </c>
      <c r="L111" s="5">
        <f t="shared" si="14"/>
        <v>-2</v>
      </c>
      <c r="M111" s="7">
        <f t="shared" si="15"/>
        <v>4.8924236078031737E-2</v>
      </c>
      <c r="N111" s="7">
        <f t="shared" si="16"/>
        <v>0.15988385740260427</v>
      </c>
      <c r="O111" s="7">
        <f t="shared" si="17"/>
        <v>9.3676864838715098E-7</v>
      </c>
      <c r="P111" s="7">
        <f t="shared" si="18"/>
        <v>3.061349486562839E-6</v>
      </c>
    </row>
    <row r="112" spans="1:16" x14ac:dyDescent="0.2">
      <c r="A112" s="9">
        <v>19000</v>
      </c>
      <c r="B112" s="9">
        <v>2.4400300000000001E-5</v>
      </c>
      <c r="C112" s="9">
        <v>4.0306199999999998E-4</v>
      </c>
      <c r="G112" s="7">
        <f t="shared" si="12"/>
        <v>1.9</v>
      </c>
      <c r="H112" s="9">
        <f>dpa_conversion!B112+dpa_conversion!C112</f>
        <v>4.2746229999999997E-4</v>
      </c>
      <c r="I112" s="7">
        <f t="shared" si="13"/>
        <v>9.8861692312726313E-5</v>
      </c>
      <c r="J112" s="5">
        <f t="shared" si="10"/>
        <v>-2</v>
      </c>
      <c r="K112" s="5">
        <f t="shared" si="11"/>
        <v>9.8861692312726313E-5</v>
      </c>
      <c r="L112" s="5">
        <f t="shared" si="14"/>
        <v>-2</v>
      </c>
      <c r="M112" s="7">
        <f t="shared" si="15"/>
        <v>4.8028421114351669E-2</v>
      </c>
      <c r="N112" s="7">
        <f t="shared" si="16"/>
        <v>0.15894612486459808</v>
      </c>
      <c r="O112" s="7">
        <f t="shared" si="17"/>
        <v>5.4052092489860131E-7</v>
      </c>
      <c r="P112" s="7">
        <f t="shared" si="18"/>
        <v>1.7888097178191168E-6</v>
      </c>
    </row>
    <row r="113" spans="1:16" x14ac:dyDescent="0.2">
      <c r="A113" s="9">
        <v>19200</v>
      </c>
      <c r="B113" s="9">
        <v>1.7750200000000002E-5</v>
      </c>
      <c r="C113" s="9">
        <v>2.8556099999999999E-4</v>
      </c>
      <c r="G113" s="7">
        <f t="shared" si="12"/>
        <v>1.92</v>
      </c>
      <c r="H113" s="9">
        <f>dpa_conversion!B113+dpa_conversion!C113</f>
        <v>3.0331119999999997E-4</v>
      </c>
      <c r="I113" s="7">
        <f t="shared" si="13"/>
        <v>7.0148545332310687E-5</v>
      </c>
      <c r="J113" s="5">
        <f t="shared" si="10"/>
        <v>-2</v>
      </c>
      <c r="K113" s="5">
        <f t="shared" si="11"/>
        <v>7.0148545332310687E-5</v>
      </c>
      <c r="L113" s="5">
        <f t="shared" si="14"/>
        <v>-2</v>
      </c>
      <c r="M113" s="7">
        <f t="shared" si="15"/>
        <v>4.7149008746061608E-2</v>
      </c>
      <c r="N113" s="7">
        <f t="shared" si="16"/>
        <v>0.15801389220836307</v>
      </c>
      <c r="O113" s="7">
        <f t="shared" si="17"/>
        <v>3.7651076431300291E-7</v>
      </c>
      <c r="P113" s="7">
        <f t="shared" si="18"/>
        <v>1.2618278286160747E-6</v>
      </c>
    </row>
    <row r="114" spans="1:16" x14ac:dyDescent="0.2">
      <c r="A114" s="9">
        <v>19400</v>
      </c>
      <c r="B114" s="9">
        <v>9.8500900000000001E-6</v>
      </c>
      <c r="C114" s="9">
        <v>1.67811E-4</v>
      </c>
      <c r="G114" s="7">
        <f t="shared" si="12"/>
        <v>1.94</v>
      </c>
      <c r="H114" s="9">
        <f>dpa_conversion!B114+dpa_conversion!C114</f>
        <v>1.7766108999999998E-4</v>
      </c>
      <c r="I114" s="7">
        <f t="shared" si="13"/>
        <v>4.1088713590703966E-5</v>
      </c>
      <c r="J114" s="5">
        <f t="shared" si="10"/>
        <v>-2</v>
      </c>
      <c r="K114" s="5">
        <f t="shared" si="11"/>
        <v>4.1088713590703966E-5</v>
      </c>
      <c r="L114" s="5">
        <f t="shared" si="14"/>
        <v>-2</v>
      </c>
      <c r="M114" s="7">
        <f t="shared" si="15"/>
        <v>4.6285698637549354E-2</v>
      </c>
      <c r="N114" s="7">
        <f t="shared" si="16"/>
        <v>0.15708712717662091</v>
      </c>
      <c r="O114" s="7">
        <f t="shared" si="17"/>
        <v>2.1649881760264852E-7</v>
      </c>
      <c r="P114" s="7">
        <f t="shared" si="18"/>
        <v>7.347664245202793E-7</v>
      </c>
    </row>
    <row r="115" spans="1:16" x14ac:dyDescent="0.2">
      <c r="A115" s="9">
        <v>19600</v>
      </c>
      <c r="B115" s="9">
        <v>4.9000499999999998E-6</v>
      </c>
      <c r="C115" s="9">
        <v>7.1626100000000002E-5</v>
      </c>
      <c r="G115" s="7">
        <f t="shared" si="12"/>
        <v>1.96</v>
      </c>
      <c r="H115" s="9">
        <f>dpa_conversion!B115+dpa_conversion!C115</f>
        <v>7.6526150000000003E-5</v>
      </c>
      <c r="I115" s="7">
        <f t="shared" si="13"/>
        <v>1.7698647799297252E-5</v>
      </c>
      <c r="J115" s="5">
        <f t="shared" si="10"/>
        <v>-2</v>
      </c>
      <c r="K115" s="5">
        <f t="shared" si="11"/>
        <v>1.7698647799297252E-5</v>
      </c>
      <c r="L115" s="5">
        <f t="shared" si="14"/>
        <v>-2</v>
      </c>
      <c r="M115" s="7">
        <f t="shared" si="15"/>
        <v>4.5438195952422683E-2</v>
      </c>
      <c r="N115" s="7">
        <f t="shared" si="16"/>
        <v>0.15616579770128491</v>
      </c>
      <c r="O115" s="7">
        <f t="shared" si="17"/>
        <v>9.1547676852239337E-8</v>
      </c>
      <c r="P115" s="7">
        <f t="shared" si="18"/>
        <v>3.1463872373584282E-7</v>
      </c>
    </row>
    <row r="116" spans="1:16" x14ac:dyDescent="0.2">
      <c r="A116" s="9">
        <v>19800</v>
      </c>
      <c r="B116" s="9">
        <v>1.6000200000000001E-6</v>
      </c>
      <c r="C116" s="9">
        <v>4.0697200000000001E-5</v>
      </c>
      <c r="G116" s="7">
        <f t="shared" si="12"/>
        <v>1.98</v>
      </c>
      <c r="H116" s="9">
        <f>dpa_conversion!B116+dpa_conversion!C116</f>
        <v>4.229722E-5</v>
      </c>
      <c r="I116" s="7">
        <f t="shared" si="13"/>
        <v>9.7823240770559054E-6</v>
      </c>
      <c r="J116" s="5">
        <f t="shared" si="10"/>
        <v>-2</v>
      </c>
      <c r="K116" s="5">
        <f t="shared" si="11"/>
        <v>9.7823240770559054E-6</v>
      </c>
      <c r="L116" s="5">
        <f t="shared" si="14"/>
        <v>-2</v>
      </c>
      <c r="M116" s="7">
        <f t="shared" si="15"/>
        <v>4.4606211252817232E-2</v>
      </c>
      <c r="N116" s="7">
        <f t="shared" si="16"/>
        <v>0.15524987190235054</v>
      </c>
      <c r="O116" s="7">
        <f t="shared" si="17"/>
        <v>4.9673360762648521E-8</v>
      </c>
      <c r="P116" s="7">
        <f t="shared" si="18"/>
        <v>1.7288585330979817E-7</v>
      </c>
    </row>
    <row r="117" spans="1:16" x14ac:dyDescent="0.2">
      <c r="A117" s="9">
        <v>20000</v>
      </c>
      <c r="B117" s="9">
        <v>2.65003E-6</v>
      </c>
      <c r="C117" s="9">
        <v>3.2676699999999998E-5</v>
      </c>
      <c r="G117" s="7">
        <f t="shared" si="12"/>
        <v>2</v>
      </c>
      <c r="H117" s="9">
        <f>dpa_conversion!B117+dpa_conversion!C117</f>
        <v>3.5326729999999997E-5</v>
      </c>
      <c r="I117" s="7">
        <f t="shared" si="13"/>
        <v>8.17021831322846E-6</v>
      </c>
      <c r="J117" s="5">
        <f t="shared" si="10"/>
        <v>-2</v>
      </c>
      <c r="K117" s="5">
        <f t="shared" si="11"/>
        <v>8.17021831322846E-6</v>
      </c>
      <c r="L117" s="5">
        <f t="shared" si="14"/>
        <v>-2</v>
      </c>
      <c r="M117" s="7">
        <f t="shared" si="15"/>
        <v>4.3789460400548104E-2</v>
      </c>
      <c r="N117" s="7">
        <f t="shared" si="16"/>
        <v>0.15433931808679219</v>
      </c>
      <c r="O117" s="7">
        <f t="shared" si="17"/>
        <v>4.072765599643709E-8</v>
      </c>
      <c r="P117" s="7">
        <f t="shared" si="18"/>
        <v>1.4354775318685757E-7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5AA97-DB84-8E44-AC15-4C527486CD46}">
  <dimension ref="A1:P14"/>
  <sheetViews>
    <sheetView workbookViewId="0">
      <selection activeCell="M2" sqref="M2"/>
    </sheetView>
  </sheetViews>
  <sheetFormatPr baseColWidth="10" defaultRowHeight="16" x14ac:dyDescent="0.2"/>
  <cols>
    <col min="2" max="2" width="10.1640625" customWidth="1"/>
    <col min="3" max="3" width="1.5" customWidth="1"/>
    <col min="4" max="4" width="3.83203125" customWidth="1"/>
    <col min="5" max="5" width="3.1640625" customWidth="1"/>
    <col min="6" max="6" width="1.1640625" customWidth="1"/>
    <col min="7" max="7" width="1.83203125" customWidth="1"/>
  </cols>
  <sheetData>
    <row r="1" spans="1:16" x14ac:dyDescent="0.2">
      <c r="A1" t="s">
        <v>773</v>
      </c>
      <c r="B1" t="s">
        <v>692</v>
      </c>
      <c r="C1" t="s">
        <v>696</v>
      </c>
      <c r="D1" s="27" t="s">
        <v>698</v>
      </c>
      <c r="E1" s="26" t="s">
        <v>772</v>
      </c>
      <c r="F1" s="26"/>
      <c r="G1" s="26"/>
      <c r="H1" s="26" t="s">
        <v>767</v>
      </c>
      <c r="I1" s="26" t="s">
        <v>766</v>
      </c>
      <c r="J1" s="26" t="s">
        <v>765</v>
      </c>
      <c r="K1" s="26" t="s">
        <v>769</v>
      </c>
      <c r="L1" s="28" t="s">
        <v>770</v>
      </c>
      <c r="M1" s="28" t="s">
        <v>775</v>
      </c>
      <c r="N1" s="28" t="s">
        <v>771</v>
      </c>
      <c r="O1" s="29" t="s">
        <v>693</v>
      </c>
      <c r="P1" s="27" t="s">
        <v>700</v>
      </c>
    </row>
    <row r="2" spans="1:16" x14ac:dyDescent="0.2">
      <c r="A2" s="2">
        <v>0.7416666666666667</v>
      </c>
      <c r="B2" s="2">
        <v>0.76041666666666663</v>
      </c>
      <c r="C2" s="2">
        <f>B2-A2</f>
        <v>1.8749999999999933E-2</v>
      </c>
      <c r="D2">
        <v>1619.9999999999943</v>
      </c>
      <c r="E2" s="5">
        <v>0.4499999999999984</v>
      </c>
      <c r="F2" s="5"/>
      <c r="G2" s="5"/>
      <c r="H2" s="5">
        <v>0.5</v>
      </c>
      <c r="I2" s="5">
        <v>0.37</v>
      </c>
      <c r="J2" s="5">
        <v>0.43</v>
      </c>
      <c r="K2" s="5">
        <f>I2/D2</f>
        <v>2.2839506172839586E-4</v>
      </c>
      <c r="L2" s="5">
        <f>J2/D2</f>
        <v>2.6543209876543302E-4</v>
      </c>
      <c r="M2" s="35">
        <f>L2*60</f>
        <v>1.5925925925925982E-2</v>
      </c>
      <c r="N2" s="5">
        <f>L2*3600</f>
        <v>0.95555555555555893</v>
      </c>
      <c r="O2" s="23">
        <v>6.2</v>
      </c>
      <c r="P2">
        <v>6.1</v>
      </c>
    </row>
    <row r="3" spans="1:16" x14ac:dyDescent="0.2">
      <c r="B3" s="2">
        <v>0.77986111111111112</v>
      </c>
      <c r="C3" s="2">
        <f>B3-$A$2</f>
        <v>3.819444444444442E-2</v>
      </c>
      <c r="D3">
        <v>1680.0000000000034</v>
      </c>
      <c r="E3" s="5">
        <v>0.46666666666666762</v>
      </c>
      <c r="F3" s="5"/>
      <c r="G3" s="5"/>
      <c r="H3" s="5">
        <v>0.52</v>
      </c>
      <c r="I3" s="5">
        <v>0.39</v>
      </c>
      <c r="J3" s="5">
        <v>0.45</v>
      </c>
      <c r="K3" s="5">
        <f t="shared" ref="K3:K13" si="0">I3/D3</f>
        <v>2.3214285714285668E-4</v>
      </c>
      <c r="L3" s="5">
        <f t="shared" ref="L3:L13" si="1">J3/D3</f>
        <v>2.6785714285714233E-4</v>
      </c>
      <c r="M3" s="35">
        <f t="shared" ref="M3:M14" si="2">L3*60</f>
        <v>1.6071428571428539E-2</v>
      </c>
      <c r="N3" s="5">
        <f>L3*3600</f>
        <v>0.96428571428571241</v>
      </c>
      <c r="O3" s="23">
        <v>6.2</v>
      </c>
      <c r="P3">
        <v>6.2</v>
      </c>
    </row>
    <row r="4" spans="1:16" x14ac:dyDescent="0.2">
      <c r="B4" s="2">
        <v>0.80208333333333337</v>
      </c>
      <c r="C4" s="2">
        <f t="shared" ref="C4:C13" si="3">B4-$A$2</f>
        <v>6.0416666666666674E-2</v>
      </c>
      <c r="D4">
        <v>1920.0000000000032</v>
      </c>
      <c r="E4" s="5">
        <v>0.53333333333333421</v>
      </c>
      <c r="F4" s="5"/>
      <c r="G4" s="5"/>
      <c r="H4" s="5">
        <v>0.6</v>
      </c>
      <c r="I4" s="5">
        <v>0.44</v>
      </c>
      <c r="J4" s="5">
        <v>0.51</v>
      </c>
      <c r="K4" s="5">
        <f t="shared" si="0"/>
        <v>2.2916666666666628E-4</v>
      </c>
      <c r="L4" s="5">
        <f t="shared" si="1"/>
        <v>2.6562499999999959E-4</v>
      </c>
      <c r="M4" s="35">
        <f t="shared" si="2"/>
        <v>1.5937499999999976E-2</v>
      </c>
      <c r="N4" s="5">
        <f>L4*3600</f>
        <v>0.95624999999999849</v>
      </c>
      <c r="O4" s="23">
        <v>6.2</v>
      </c>
      <c r="P4">
        <v>6.2</v>
      </c>
    </row>
    <row r="5" spans="1:16" x14ac:dyDescent="0.2">
      <c r="B5" s="2">
        <v>0.82291666666666663</v>
      </c>
      <c r="C5" s="2">
        <f t="shared" si="3"/>
        <v>8.1249999999999933E-2</v>
      </c>
      <c r="D5">
        <v>1799.9999999999936</v>
      </c>
      <c r="E5" s="5">
        <v>0.49999999999999822</v>
      </c>
      <c r="F5" s="5"/>
      <c r="G5" s="5"/>
      <c r="H5" s="5">
        <v>0.56000000000000005</v>
      </c>
      <c r="I5" s="5">
        <v>0.41</v>
      </c>
      <c r="J5" s="5">
        <v>0.48</v>
      </c>
      <c r="K5" s="5">
        <f t="shared" si="0"/>
        <v>2.2777777777777857E-4</v>
      </c>
      <c r="L5" s="5">
        <f t="shared" si="1"/>
        <v>2.666666666666676E-4</v>
      </c>
      <c r="M5" s="5">
        <f t="shared" si="2"/>
        <v>1.6000000000000056E-2</v>
      </c>
      <c r="N5" s="5">
        <f>L5*3600</f>
        <v>0.96000000000000341</v>
      </c>
      <c r="O5" s="23">
        <v>6.1</v>
      </c>
      <c r="P5">
        <v>6.15</v>
      </c>
    </row>
    <row r="6" spans="1:16" x14ac:dyDescent="0.2">
      <c r="B6" s="2">
        <v>0.84861111111111109</v>
      </c>
      <c r="C6" s="2">
        <f t="shared" si="3"/>
        <v>0.1069444444444444</v>
      </c>
      <c r="D6">
        <v>2220.0000000000018</v>
      </c>
      <c r="E6" s="5">
        <v>0.61666666666666714</v>
      </c>
      <c r="F6" s="5"/>
      <c r="G6" s="5"/>
      <c r="H6" s="5">
        <v>0.69</v>
      </c>
      <c r="I6" s="5">
        <v>0.51</v>
      </c>
      <c r="J6" s="5">
        <v>0.59</v>
      </c>
      <c r="K6" s="5">
        <f t="shared" si="0"/>
        <v>2.2972972972972955E-4</v>
      </c>
      <c r="L6" s="5">
        <f t="shared" si="1"/>
        <v>2.6576576576576552E-4</v>
      </c>
      <c r="M6" s="5">
        <f t="shared" si="2"/>
        <v>1.5945945945945932E-2</v>
      </c>
      <c r="N6" s="5">
        <f>L6*3600</f>
        <v>0.95675675675675587</v>
      </c>
      <c r="O6" s="23">
        <v>6.2</v>
      </c>
      <c r="P6">
        <v>6.15</v>
      </c>
    </row>
    <row r="7" spans="1:16" x14ac:dyDescent="0.2">
      <c r="B7" s="2">
        <v>0.86875000000000002</v>
      </c>
      <c r="C7" s="2">
        <f t="shared" si="3"/>
        <v>0.12708333333333333</v>
      </c>
      <c r="D7">
        <v>1740.0000000000036</v>
      </c>
      <c r="E7" s="5">
        <v>0.48333333333333434</v>
      </c>
      <c r="F7" s="5"/>
      <c r="G7" s="5"/>
      <c r="H7" s="5">
        <v>0.52</v>
      </c>
      <c r="I7" s="5">
        <v>0.39</v>
      </c>
      <c r="J7" s="5">
        <v>0.45</v>
      </c>
      <c r="K7" s="5">
        <f t="shared" si="0"/>
        <v>2.241379310344823E-4</v>
      </c>
      <c r="L7" s="5">
        <f t="shared" si="1"/>
        <v>2.5862068965517188E-4</v>
      </c>
      <c r="M7" s="5">
        <f t="shared" si="2"/>
        <v>1.5517241379310313E-2</v>
      </c>
      <c r="N7" s="5">
        <f>L7*3600</f>
        <v>0.93103448275861878</v>
      </c>
      <c r="O7" s="23">
        <v>5.8</v>
      </c>
      <c r="P7">
        <v>6</v>
      </c>
    </row>
    <row r="8" spans="1:16" x14ac:dyDescent="0.2">
      <c r="B8" s="2">
        <v>0.8881944444444444</v>
      </c>
      <c r="C8" s="2">
        <f t="shared" si="3"/>
        <v>0.1465277777777777</v>
      </c>
      <c r="D8">
        <v>1679.9999999999927</v>
      </c>
      <c r="E8" s="5">
        <v>0.46666666666666462</v>
      </c>
      <c r="F8" s="5"/>
      <c r="G8" s="5"/>
      <c r="H8" s="5">
        <v>0.49</v>
      </c>
      <c r="I8" s="5">
        <v>0.36</v>
      </c>
      <c r="J8" s="5">
        <v>0.42</v>
      </c>
      <c r="K8" s="5">
        <f t="shared" si="0"/>
        <v>2.142857142857152E-4</v>
      </c>
      <c r="L8" s="5">
        <f t="shared" si="1"/>
        <v>2.5000000000000109E-4</v>
      </c>
      <c r="M8" s="5">
        <f t="shared" si="2"/>
        <v>1.5000000000000065E-2</v>
      </c>
      <c r="N8" s="5">
        <f>L8*3600</f>
        <v>0.90000000000000391</v>
      </c>
      <c r="O8" s="23">
        <v>5.8</v>
      </c>
      <c r="P8">
        <v>5.8</v>
      </c>
    </row>
    <row r="9" spans="1:16" x14ac:dyDescent="0.2">
      <c r="B9" s="2">
        <v>0.90902777777777777</v>
      </c>
      <c r="C9" s="2">
        <f t="shared" si="3"/>
        <v>0.16736111111111107</v>
      </c>
      <c r="D9">
        <v>1800.0000000000036</v>
      </c>
      <c r="E9" s="5">
        <v>0.500000000000001</v>
      </c>
      <c r="F9" s="5"/>
      <c r="G9" s="5"/>
      <c r="H9" s="5">
        <v>0.52</v>
      </c>
      <c r="I9" s="5">
        <v>0.38</v>
      </c>
      <c r="J9" s="5">
        <v>0.45</v>
      </c>
      <c r="K9" s="5">
        <f t="shared" si="0"/>
        <v>2.1111111111111067E-4</v>
      </c>
      <c r="L9" s="5">
        <f t="shared" si="1"/>
        <v>2.4999999999999952E-4</v>
      </c>
      <c r="M9" s="5">
        <f t="shared" si="2"/>
        <v>1.4999999999999972E-2</v>
      </c>
      <c r="N9" s="5">
        <f>L9*3600</f>
        <v>0.89999999999999825</v>
      </c>
      <c r="O9" s="23">
        <v>5.6</v>
      </c>
      <c r="P9">
        <v>5.6999999999999993</v>
      </c>
    </row>
    <row r="10" spans="1:16" x14ac:dyDescent="0.2">
      <c r="B10" s="2">
        <v>0.9243055555555556</v>
      </c>
      <c r="C10" s="2">
        <f t="shared" si="3"/>
        <v>0.18263888888888891</v>
      </c>
      <c r="D10">
        <v>1320.0000000000055</v>
      </c>
      <c r="E10" s="5">
        <v>0.3666666666666682</v>
      </c>
      <c r="F10" s="5"/>
      <c r="G10" s="5"/>
      <c r="H10" s="5">
        <v>0.36</v>
      </c>
      <c r="I10" s="5">
        <v>0.26</v>
      </c>
      <c r="J10" s="5">
        <v>0.31</v>
      </c>
      <c r="K10" s="5">
        <f t="shared" si="0"/>
        <v>1.9696969696969617E-4</v>
      </c>
      <c r="L10" s="5">
        <f t="shared" si="1"/>
        <v>2.3484848484848388E-4</v>
      </c>
      <c r="M10" s="5">
        <f t="shared" si="2"/>
        <v>1.4090909090909032E-2</v>
      </c>
      <c r="N10" s="5">
        <f>L10*3600</f>
        <v>0.84545454545454202</v>
      </c>
      <c r="O10" s="23">
        <v>5.2</v>
      </c>
      <c r="P10">
        <v>5.4</v>
      </c>
    </row>
    <row r="11" spans="1:16" x14ac:dyDescent="0.2">
      <c r="B11" s="2">
        <v>0.93819444444444444</v>
      </c>
      <c r="C11" s="2">
        <f t="shared" si="3"/>
        <v>0.19652777777777775</v>
      </c>
      <c r="D11">
        <v>1199.9999999999945</v>
      </c>
      <c r="E11" s="5">
        <v>0.33333333333333182</v>
      </c>
      <c r="F11" s="5"/>
      <c r="G11" s="5"/>
      <c r="H11" s="5">
        <v>0.31</v>
      </c>
      <c r="I11" s="5">
        <v>0.23</v>
      </c>
      <c r="J11" s="5">
        <v>0.27</v>
      </c>
      <c r="K11" s="5">
        <f t="shared" si="0"/>
        <v>1.9166666666666754E-4</v>
      </c>
      <c r="L11" s="5">
        <f t="shared" si="1"/>
        <v>2.2500000000000105E-4</v>
      </c>
      <c r="M11" s="5">
        <f t="shared" si="2"/>
        <v>1.3500000000000062E-2</v>
      </c>
      <c r="N11" s="5">
        <f>L11*3600</f>
        <v>0.81000000000000383</v>
      </c>
      <c r="O11" s="23">
        <v>5</v>
      </c>
      <c r="P11">
        <v>5.0999999999999996</v>
      </c>
    </row>
    <row r="12" spans="1:16" x14ac:dyDescent="0.2">
      <c r="B12" s="2">
        <v>0.94930555555555551</v>
      </c>
      <c r="C12" s="2">
        <f t="shared" si="3"/>
        <v>0.20763888888888882</v>
      </c>
      <c r="D12">
        <v>959.99999999999636</v>
      </c>
      <c r="E12" s="5">
        <v>0.26666666666666566</v>
      </c>
      <c r="F12" s="5"/>
      <c r="G12" s="5"/>
      <c r="H12" s="5">
        <v>0.24</v>
      </c>
      <c r="I12" s="5">
        <v>0.18</v>
      </c>
      <c r="J12" s="5">
        <v>0.21</v>
      </c>
      <c r="K12" s="5">
        <f t="shared" si="0"/>
        <v>1.8750000000000071E-4</v>
      </c>
      <c r="L12" s="5">
        <f t="shared" si="1"/>
        <v>2.1875000000000082E-4</v>
      </c>
      <c r="M12" s="5">
        <f t="shared" si="2"/>
        <v>1.312500000000005E-2</v>
      </c>
      <c r="N12" s="5">
        <f>L12*3600</f>
        <v>0.78750000000000298</v>
      </c>
      <c r="O12" s="23">
        <v>4.9000000000000004</v>
      </c>
      <c r="P12">
        <v>4.95</v>
      </c>
    </row>
    <row r="13" spans="1:16" x14ac:dyDescent="0.2">
      <c r="B13" s="2">
        <v>0.95763888888888893</v>
      </c>
      <c r="C13" s="2">
        <f t="shared" si="3"/>
        <v>0.21597222222222223</v>
      </c>
      <c r="D13">
        <v>720.00000000000728</v>
      </c>
      <c r="E13" s="5">
        <v>0.20000000000000201</v>
      </c>
      <c r="G13" s="5"/>
      <c r="H13" s="5">
        <v>0.18</v>
      </c>
      <c r="I13" s="5">
        <v>0.13</v>
      </c>
      <c r="J13" s="5">
        <v>0.16</v>
      </c>
      <c r="K13" s="5">
        <f t="shared" si="0"/>
        <v>1.8055555555555373E-4</v>
      </c>
      <c r="L13" s="5">
        <f t="shared" si="1"/>
        <v>2.2222222222221998E-4</v>
      </c>
      <c r="M13" s="5">
        <f t="shared" si="2"/>
        <v>1.3333333333333199E-2</v>
      </c>
      <c r="N13" s="5">
        <f>L13*3600</f>
        <v>0.79999999999999194</v>
      </c>
      <c r="O13" s="24">
        <v>4.9000000000000004</v>
      </c>
      <c r="P13" s="5">
        <v>4.9000000000000004</v>
      </c>
    </row>
    <row r="14" spans="1:16" x14ac:dyDescent="0.2">
      <c r="A14" s="26" t="s">
        <v>768</v>
      </c>
      <c r="D14" s="27">
        <f>SUM(D2:D13)</f>
        <v>18660</v>
      </c>
      <c r="E14" s="26">
        <f>D14/3600</f>
        <v>5.1833333333333336</v>
      </c>
      <c r="F14" s="27"/>
      <c r="G14" s="27"/>
      <c r="H14" s="26">
        <f>SUM(H2:H13)</f>
        <v>5.49</v>
      </c>
      <c r="I14" s="26">
        <f t="shared" ref="I14:J14" si="4">SUM(I2:I13)</f>
        <v>4.05</v>
      </c>
      <c r="J14" s="26">
        <f t="shared" si="4"/>
        <v>4.7299999999999995</v>
      </c>
      <c r="K14" s="26">
        <f>I14/D14</f>
        <v>2.1704180064308681E-4</v>
      </c>
      <c r="L14" s="26">
        <f>J14/D14</f>
        <v>2.5348338692390138E-4</v>
      </c>
      <c r="M14" s="5">
        <f t="shared" si="2"/>
        <v>1.5209003215434082E-2</v>
      </c>
      <c r="N14" s="26">
        <f>L14*3600</f>
        <v>0.91254019292604494</v>
      </c>
      <c r="O14" s="25"/>
      <c r="P14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BAAF1-0396-EC43-84BE-562FAB0901F6}">
  <dimension ref="A1:J356"/>
  <sheetViews>
    <sheetView workbookViewId="0">
      <selection activeCell="F7" sqref="F7"/>
    </sheetView>
  </sheetViews>
  <sheetFormatPr baseColWidth="10" defaultRowHeight="16" x14ac:dyDescent="0.2"/>
  <cols>
    <col min="2" max="2" width="18.83203125" bestFit="1" customWidth="1"/>
    <col min="3" max="4" width="18.83203125" customWidth="1"/>
    <col min="5" max="5" width="12" bestFit="1" customWidth="1"/>
    <col min="7" max="7" width="10.83203125" style="37"/>
  </cols>
  <sheetData>
    <row r="1" spans="1:7" x14ac:dyDescent="0.2">
      <c r="B1" s="27" t="s">
        <v>2</v>
      </c>
      <c r="C1" s="27" t="s">
        <v>692</v>
      </c>
      <c r="D1" s="27"/>
      <c r="E1" s="27" t="s">
        <v>3</v>
      </c>
      <c r="F1" s="27" t="s">
        <v>775</v>
      </c>
      <c r="G1" s="36" t="s">
        <v>765</v>
      </c>
    </row>
    <row r="2" spans="1:7" x14ac:dyDescent="0.2">
      <c r="B2" t="s">
        <v>20</v>
      </c>
      <c r="C2" s="2">
        <v>0.74097222222222225</v>
      </c>
      <c r="D2" s="2"/>
      <c r="E2" s="1">
        <v>725629860</v>
      </c>
      <c r="F2">
        <v>0</v>
      </c>
      <c r="G2" s="37">
        <f>F2*60</f>
        <v>0</v>
      </c>
    </row>
    <row r="3" spans="1:7" s="30" customFormat="1" x14ac:dyDescent="0.2">
      <c r="A3" s="30" t="s">
        <v>776</v>
      </c>
      <c r="B3" s="30" t="s">
        <v>22</v>
      </c>
      <c r="C3" s="31">
        <v>0.7416666666666667</v>
      </c>
      <c r="D3" s="31"/>
      <c r="E3" s="32">
        <v>725442260</v>
      </c>
      <c r="F3" s="33">
        <v>1.5925925925925982E-2</v>
      </c>
      <c r="G3" s="37">
        <f>G2+(F3)</f>
        <v>1.5925925925925982E-2</v>
      </c>
    </row>
    <row r="4" spans="1:7" x14ac:dyDescent="0.2">
      <c r="B4" t="s">
        <v>24</v>
      </c>
      <c r="C4" s="2">
        <v>0.74236111111111103</v>
      </c>
      <c r="D4" s="2"/>
      <c r="E4" s="1">
        <v>725398030</v>
      </c>
      <c r="F4" s="34">
        <v>1.5925925925925982E-2</v>
      </c>
      <c r="G4" s="37">
        <f t="shared" ref="G4:G67" si="0">G3+(F4)</f>
        <v>3.1851851851851964E-2</v>
      </c>
    </row>
    <row r="5" spans="1:7" x14ac:dyDescent="0.2">
      <c r="B5" t="s">
        <v>26</v>
      </c>
      <c r="C5" s="2">
        <v>0.74305555555555602</v>
      </c>
      <c r="D5" s="2"/>
      <c r="E5" s="1">
        <v>725156080</v>
      </c>
      <c r="F5" s="34">
        <v>1.5925925925925982E-2</v>
      </c>
      <c r="G5" s="37">
        <f t="shared" si="0"/>
        <v>4.7777777777777947E-2</v>
      </c>
    </row>
    <row r="6" spans="1:7" x14ac:dyDescent="0.2">
      <c r="B6" t="s">
        <v>28</v>
      </c>
      <c r="C6" s="2">
        <v>0.74375000000000002</v>
      </c>
      <c r="D6" s="2"/>
      <c r="E6" s="1">
        <v>724736280</v>
      </c>
      <c r="F6" s="34">
        <v>1.5925925925925982E-2</v>
      </c>
      <c r="G6" s="37">
        <f t="shared" si="0"/>
        <v>6.3703703703703929E-2</v>
      </c>
    </row>
    <row r="7" spans="1:7" x14ac:dyDescent="0.2">
      <c r="B7" t="s">
        <v>30</v>
      </c>
      <c r="C7" s="2">
        <v>0.74444444444444402</v>
      </c>
      <c r="D7" s="2"/>
      <c r="E7" s="1">
        <v>724714580</v>
      </c>
      <c r="F7" s="34">
        <v>1.5925925925925982E-2</v>
      </c>
      <c r="G7" s="37">
        <f t="shared" si="0"/>
        <v>7.9629629629629911E-2</v>
      </c>
    </row>
    <row r="8" spans="1:7" x14ac:dyDescent="0.2">
      <c r="B8" t="s">
        <v>32</v>
      </c>
      <c r="C8" s="2">
        <v>0.74513888888888902</v>
      </c>
      <c r="D8" s="2"/>
      <c r="E8" s="1">
        <v>724710850</v>
      </c>
      <c r="F8" s="34">
        <v>1.5925925925925982E-2</v>
      </c>
      <c r="G8" s="37">
        <f t="shared" si="0"/>
        <v>9.5555555555555893E-2</v>
      </c>
    </row>
    <row r="9" spans="1:7" x14ac:dyDescent="0.2">
      <c r="B9" t="s">
        <v>34</v>
      </c>
      <c r="C9" s="2">
        <v>0.74583333333333302</v>
      </c>
      <c r="D9" s="2"/>
      <c r="E9" s="1">
        <v>724520780</v>
      </c>
      <c r="F9" s="34">
        <v>1.5925925925925982E-2</v>
      </c>
      <c r="G9" s="37">
        <f t="shared" si="0"/>
        <v>0.11148148148148188</v>
      </c>
    </row>
    <row r="10" spans="1:7" x14ac:dyDescent="0.2">
      <c r="B10" t="s">
        <v>36</v>
      </c>
      <c r="C10" s="2">
        <v>0.74652777777777801</v>
      </c>
      <c r="D10" s="2"/>
      <c r="E10" s="1">
        <v>724635190</v>
      </c>
      <c r="F10" s="34">
        <v>1.5925925925925982E-2</v>
      </c>
      <c r="G10" s="37">
        <f t="shared" si="0"/>
        <v>0.12740740740740786</v>
      </c>
    </row>
    <row r="11" spans="1:7" x14ac:dyDescent="0.2">
      <c r="B11" t="s">
        <v>38</v>
      </c>
      <c r="C11" s="2">
        <v>0.74722222222222201</v>
      </c>
      <c r="D11" s="2"/>
      <c r="E11" s="1">
        <v>724743700</v>
      </c>
      <c r="F11" s="34">
        <v>1.5925925925925982E-2</v>
      </c>
      <c r="G11" s="37">
        <f t="shared" si="0"/>
        <v>0.14333333333333384</v>
      </c>
    </row>
    <row r="12" spans="1:7" x14ac:dyDescent="0.2">
      <c r="B12" t="s">
        <v>40</v>
      </c>
      <c r="C12" s="2">
        <v>0.74791666666666701</v>
      </c>
      <c r="D12" s="2"/>
      <c r="E12" s="1">
        <v>724779510</v>
      </c>
      <c r="F12" s="34">
        <v>1.5925925925925982E-2</v>
      </c>
      <c r="G12" s="37">
        <f t="shared" si="0"/>
        <v>0.15925925925925982</v>
      </c>
    </row>
    <row r="13" spans="1:7" x14ac:dyDescent="0.2">
      <c r="B13" t="s">
        <v>42</v>
      </c>
      <c r="C13" s="2">
        <v>0.74861111111111101</v>
      </c>
      <c r="D13" s="2"/>
      <c r="E13" s="1">
        <v>724657970</v>
      </c>
      <c r="F13" s="34">
        <v>1.5925925925925982E-2</v>
      </c>
      <c r="G13" s="37">
        <f t="shared" si="0"/>
        <v>0.1751851851851858</v>
      </c>
    </row>
    <row r="14" spans="1:7" x14ac:dyDescent="0.2">
      <c r="B14" t="s">
        <v>44</v>
      </c>
      <c r="C14" s="2">
        <v>0.749305555555556</v>
      </c>
      <c r="D14" s="2"/>
      <c r="E14" s="1">
        <v>724530140</v>
      </c>
      <c r="F14" s="34">
        <v>1.5925925925925982E-2</v>
      </c>
      <c r="G14" s="37">
        <f t="shared" si="0"/>
        <v>0.19111111111111179</v>
      </c>
    </row>
    <row r="15" spans="1:7" x14ac:dyDescent="0.2">
      <c r="B15" t="s">
        <v>46</v>
      </c>
      <c r="C15" s="2">
        <v>0.75</v>
      </c>
      <c r="D15" s="2"/>
      <c r="E15" s="1">
        <v>724882610</v>
      </c>
      <c r="F15" s="34">
        <v>1.5925925925925982E-2</v>
      </c>
      <c r="G15" s="37">
        <f t="shared" si="0"/>
        <v>0.20703703703703777</v>
      </c>
    </row>
    <row r="16" spans="1:7" x14ac:dyDescent="0.2">
      <c r="B16" t="s">
        <v>48</v>
      </c>
      <c r="C16" s="2">
        <v>0.750694444444444</v>
      </c>
      <c r="D16" s="2"/>
      <c r="E16" s="1">
        <v>724798980</v>
      </c>
      <c r="F16" s="34">
        <v>1.5925925925925982E-2</v>
      </c>
      <c r="G16" s="37">
        <f t="shared" si="0"/>
        <v>0.22296296296296375</v>
      </c>
    </row>
    <row r="17" spans="2:7" x14ac:dyDescent="0.2">
      <c r="B17" t="s">
        <v>50</v>
      </c>
      <c r="C17" s="2">
        <v>0.75138888888888899</v>
      </c>
      <c r="D17" s="2"/>
      <c r="E17" s="1">
        <v>724784640</v>
      </c>
      <c r="F17" s="34">
        <v>1.5925925925925982E-2</v>
      </c>
      <c r="G17" s="37">
        <f t="shared" si="0"/>
        <v>0.23888888888888973</v>
      </c>
    </row>
    <row r="18" spans="2:7" x14ac:dyDescent="0.2">
      <c r="B18" t="s">
        <v>52</v>
      </c>
      <c r="C18" s="2">
        <v>0.75208333333333299</v>
      </c>
      <c r="D18" s="2"/>
      <c r="E18" s="1">
        <v>724777370</v>
      </c>
      <c r="F18" s="34">
        <v>1.5925925925925982E-2</v>
      </c>
      <c r="G18" s="37">
        <f t="shared" si="0"/>
        <v>0.25481481481481572</v>
      </c>
    </row>
    <row r="19" spans="2:7" x14ac:dyDescent="0.2">
      <c r="B19" t="s">
        <v>54</v>
      </c>
      <c r="C19" s="2">
        <v>0.75277777777777799</v>
      </c>
      <c r="D19" s="2"/>
      <c r="E19" s="1">
        <v>724750090</v>
      </c>
      <c r="F19" s="34">
        <v>1.5925925925925982E-2</v>
      </c>
      <c r="G19" s="37">
        <f t="shared" si="0"/>
        <v>0.27074074074074173</v>
      </c>
    </row>
    <row r="20" spans="2:7" x14ac:dyDescent="0.2">
      <c r="B20" t="s">
        <v>56</v>
      </c>
      <c r="C20" s="2">
        <v>0.75347222222222199</v>
      </c>
      <c r="D20" s="2"/>
      <c r="E20" s="1">
        <v>724602510</v>
      </c>
      <c r="F20" s="34">
        <v>1.5925925925925982E-2</v>
      </c>
      <c r="G20" s="37">
        <f t="shared" si="0"/>
        <v>0.28666666666666774</v>
      </c>
    </row>
    <row r="21" spans="2:7" x14ac:dyDescent="0.2">
      <c r="B21" t="s">
        <v>58</v>
      </c>
      <c r="C21" s="2">
        <v>0.75416666666666698</v>
      </c>
      <c r="D21" s="2"/>
      <c r="E21" s="1">
        <v>724557600</v>
      </c>
      <c r="F21" s="34">
        <v>1.5925925925925982E-2</v>
      </c>
      <c r="G21" s="37">
        <f t="shared" si="0"/>
        <v>0.30259259259259375</v>
      </c>
    </row>
    <row r="22" spans="2:7" x14ac:dyDescent="0.2">
      <c r="B22" t="s">
        <v>60</v>
      </c>
      <c r="C22" s="2">
        <v>0.75486111111111098</v>
      </c>
      <c r="D22" s="2"/>
      <c r="E22" s="1">
        <v>724598700</v>
      </c>
      <c r="F22" s="34">
        <v>1.5925925925925982E-2</v>
      </c>
      <c r="G22" s="37">
        <f t="shared" si="0"/>
        <v>0.31851851851851976</v>
      </c>
    </row>
    <row r="23" spans="2:7" x14ac:dyDescent="0.2">
      <c r="B23" t="s">
        <v>62</v>
      </c>
      <c r="C23" s="2">
        <v>0.75555555555555598</v>
      </c>
      <c r="D23" s="2"/>
      <c r="E23" s="1">
        <v>725012140</v>
      </c>
      <c r="F23" s="34">
        <v>1.5925925925925982E-2</v>
      </c>
      <c r="G23" s="37">
        <f t="shared" si="0"/>
        <v>0.33444444444444577</v>
      </c>
    </row>
    <row r="24" spans="2:7" x14ac:dyDescent="0.2">
      <c r="B24" t="s">
        <v>64</v>
      </c>
      <c r="C24" s="2">
        <v>0.75624999999999998</v>
      </c>
      <c r="D24" s="2"/>
      <c r="E24" s="1">
        <v>724838580</v>
      </c>
      <c r="F24" s="34">
        <v>1.5925925925925982E-2</v>
      </c>
      <c r="G24" s="37">
        <f t="shared" si="0"/>
        <v>0.35037037037037178</v>
      </c>
    </row>
    <row r="25" spans="2:7" x14ac:dyDescent="0.2">
      <c r="B25" t="s">
        <v>66</v>
      </c>
      <c r="C25" s="2">
        <v>0.75694444444444398</v>
      </c>
      <c r="D25" s="2"/>
      <c r="E25" s="1">
        <v>724791960</v>
      </c>
      <c r="F25" s="34">
        <v>1.5925925925925982E-2</v>
      </c>
      <c r="G25" s="37">
        <f t="shared" si="0"/>
        <v>0.36629629629629779</v>
      </c>
    </row>
    <row r="26" spans="2:7" x14ac:dyDescent="0.2">
      <c r="B26" t="s">
        <v>68</v>
      </c>
      <c r="C26" s="2">
        <v>0.75763888888888897</v>
      </c>
      <c r="D26" s="2"/>
      <c r="E26" s="1">
        <v>724867700</v>
      </c>
      <c r="F26" s="34">
        <v>1.5925925925925982E-2</v>
      </c>
      <c r="G26" s="37">
        <f t="shared" si="0"/>
        <v>0.3822222222222238</v>
      </c>
    </row>
    <row r="27" spans="2:7" x14ac:dyDescent="0.2">
      <c r="B27" t="s">
        <v>70</v>
      </c>
      <c r="C27" s="2">
        <v>0.75833333333333297</v>
      </c>
      <c r="D27" s="2"/>
      <c r="E27" s="1">
        <v>724820770</v>
      </c>
      <c r="F27" s="34">
        <v>1.5925925925925982E-2</v>
      </c>
      <c r="G27" s="37">
        <f t="shared" si="0"/>
        <v>0.39814814814814981</v>
      </c>
    </row>
    <row r="28" spans="2:7" x14ac:dyDescent="0.2">
      <c r="B28" t="s">
        <v>72</v>
      </c>
      <c r="C28" s="2">
        <v>0.75902777777777797</v>
      </c>
      <c r="D28" s="2"/>
      <c r="E28" s="1">
        <v>724950100</v>
      </c>
      <c r="F28" s="34">
        <v>1.5925925925925982E-2</v>
      </c>
      <c r="G28" s="37">
        <f t="shared" si="0"/>
        <v>0.41407407407407582</v>
      </c>
    </row>
    <row r="29" spans="2:7" x14ac:dyDescent="0.2">
      <c r="B29" t="s">
        <v>74</v>
      </c>
      <c r="C29" s="2">
        <v>0.75972222222222197</v>
      </c>
      <c r="D29" s="2"/>
      <c r="E29" s="1">
        <v>724812770</v>
      </c>
      <c r="F29" s="34">
        <v>1.5925925925925982E-2</v>
      </c>
      <c r="G29" s="37">
        <f t="shared" si="0"/>
        <v>0.43000000000000183</v>
      </c>
    </row>
    <row r="30" spans="2:7" s="30" customFormat="1" x14ac:dyDescent="0.2">
      <c r="B30" s="30" t="s">
        <v>76</v>
      </c>
      <c r="C30" s="31">
        <v>0.76041666666666696</v>
      </c>
      <c r="D30" s="31"/>
      <c r="E30" s="32">
        <v>724658020</v>
      </c>
      <c r="F30" s="30">
        <v>1.6071428571428539E-2</v>
      </c>
      <c r="G30" s="37">
        <f t="shared" si="0"/>
        <v>0.44607142857143034</v>
      </c>
    </row>
    <row r="31" spans="2:7" x14ac:dyDescent="0.2">
      <c r="B31" t="s">
        <v>78</v>
      </c>
      <c r="C31" s="2">
        <v>0.76111111111111096</v>
      </c>
      <c r="D31" s="2"/>
      <c r="E31" s="1">
        <v>724635220</v>
      </c>
      <c r="F31">
        <v>1.6071428571428539E-2</v>
      </c>
      <c r="G31" s="37">
        <f t="shared" si="0"/>
        <v>0.46214285714285885</v>
      </c>
    </row>
    <row r="32" spans="2:7" x14ac:dyDescent="0.2">
      <c r="B32" t="s">
        <v>80</v>
      </c>
      <c r="C32" s="2">
        <v>0.76180555555555596</v>
      </c>
      <c r="D32" s="2"/>
      <c r="E32" s="1">
        <v>724811090</v>
      </c>
      <c r="F32">
        <v>1.6071428571428539E-2</v>
      </c>
      <c r="G32" s="37">
        <f t="shared" si="0"/>
        <v>0.47821428571428737</v>
      </c>
    </row>
    <row r="33" spans="2:7" x14ac:dyDescent="0.2">
      <c r="B33" t="s">
        <v>82</v>
      </c>
      <c r="C33" s="2">
        <v>0.76249999999999996</v>
      </c>
      <c r="D33" s="2"/>
      <c r="E33" s="1">
        <v>724719440</v>
      </c>
      <c r="F33">
        <v>1.6071428571428539E-2</v>
      </c>
      <c r="G33" s="37">
        <f t="shared" si="0"/>
        <v>0.49428571428571588</v>
      </c>
    </row>
    <row r="34" spans="2:7" x14ac:dyDescent="0.2">
      <c r="B34" t="s">
        <v>84</v>
      </c>
      <c r="C34" s="2">
        <v>0.76319444444444395</v>
      </c>
      <c r="D34" s="2"/>
      <c r="E34" s="1">
        <v>725013190</v>
      </c>
      <c r="F34">
        <v>1.6071428571428539E-2</v>
      </c>
      <c r="G34" s="37">
        <f t="shared" si="0"/>
        <v>0.5103571428571444</v>
      </c>
    </row>
    <row r="35" spans="2:7" x14ac:dyDescent="0.2">
      <c r="B35" t="s">
        <v>86</v>
      </c>
      <c r="C35" s="2">
        <v>0.76388888888888895</v>
      </c>
      <c r="D35" s="2"/>
      <c r="E35" s="1">
        <v>725197220</v>
      </c>
      <c r="F35">
        <v>1.6071428571428539E-2</v>
      </c>
      <c r="G35" s="37">
        <f t="shared" si="0"/>
        <v>0.52642857142857291</v>
      </c>
    </row>
    <row r="36" spans="2:7" x14ac:dyDescent="0.2">
      <c r="B36" t="s">
        <v>88</v>
      </c>
      <c r="C36" s="2">
        <v>0.76458333333333295</v>
      </c>
      <c r="D36" s="2"/>
      <c r="E36" s="1">
        <v>725387520</v>
      </c>
      <c r="F36">
        <v>1.6071428571428539E-2</v>
      </c>
      <c r="G36" s="37">
        <f t="shared" si="0"/>
        <v>0.54250000000000143</v>
      </c>
    </row>
    <row r="37" spans="2:7" x14ac:dyDescent="0.2">
      <c r="B37" t="s">
        <v>90</v>
      </c>
      <c r="C37" s="2">
        <v>0.76527777777777795</v>
      </c>
      <c r="D37" s="2"/>
      <c r="E37" s="1">
        <v>725389240</v>
      </c>
      <c r="F37">
        <v>1.6071428571428539E-2</v>
      </c>
      <c r="G37" s="37">
        <f t="shared" si="0"/>
        <v>0.55857142857142994</v>
      </c>
    </row>
    <row r="38" spans="2:7" x14ac:dyDescent="0.2">
      <c r="B38" t="s">
        <v>92</v>
      </c>
      <c r="C38" s="2">
        <v>0.76597222222222205</v>
      </c>
      <c r="D38" s="2"/>
      <c r="E38" s="1">
        <v>725165200</v>
      </c>
      <c r="F38">
        <v>1.6071428571428539E-2</v>
      </c>
      <c r="G38" s="37">
        <f t="shared" si="0"/>
        <v>0.57464285714285845</v>
      </c>
    </row>
    <row r="39" spans="2:7" x14ac:dyDescent="0.2">
      <c r="B39" t="s">
        <v>94</v>
      </c>
      <c r="C39" s="2">
        <v>0.76666666666666705</v>
      </c>
      <c r="D39" s="2"/>
      <c r="E39" s="1">
        <v>724989260</v>
      </c>
      <c r="F39">
        <v>1.6071428571428539E-2</v>
      </c>
      <c r="G39" s="37">
        <f t="shared" si="0"/>
        <v>0.59071428571428697</v>
      </c>
    </row>
    <row r="40" spans="2:7" x14ac:dyDescent="0.2">
      <c r="B40" t="s">
        <v>96</v>
      </c>
      <c r="C40" s="2">
        <v>0.76736111111111105</v>
      </c>
      <c r="D40" s="2"/>
      <c r="E40" s="1">
        <v>725242770</v>
      </c>
      <c r="F40">
        <v>1.6071428571428539E-2</v>
      </c>
      <c r="G40" s="37">
        <f t="shared" si="0"/>
        <v>0.60678571428571548</v>
      </c>
    </row>
    <row r="41" spans="2:7" x14ac:dyDescent="0.2">
      <c r="B41" t="s">
        <v>98</v>
      </c>
      <c r="C41" s="2">
        <v>0.76805555555555505</v>
      </c>
      <c r="D41" s="2"/>
      <c r="E41" s="1">
        <v>725109550</v>
      </c>
      <c r="F41">
        <v>1.6071428571428539E-2</v>
      </c>
      <c r="G41" s="37">
        <f t="shared" si="0"/>
        <v>0.622857142857144</v>
      </c>
    </row>
    <row r="42" spans="2:7" x14ac:dyDescent="0.2">
      <c r="B42" t="s">
        <v>100</v>
      </c>
      <c r="C42" s="2">
        <v>0.76875000000000004</v>
      </c>
      <c r="D42" s="2"/>
      <c r="E42" s="1">
        <v>725215010</v>
      </c>
      <c r="F42">
        <v>1.6071428571428539E-2</v>
      </c>
      <c r="G42" s="37">
        <f t="shared" si="0"/>
        <v>0.63892857142857251</v>
      </c>
    </row>
    <row r="43" spans="2:7" x14ac:dyDescent="0.2">
      <c r="B43" t="s">
        <v>102</v>
      </c>
      <c r="C43" s="2">
        <v>0.76944444444444404</v>
      </c>
      <c r="D43" s="2"/>
      <c r="E43" s="1">
        <v>725034610</v>
      </c>
      <c r="F43">
        <v>1.6071428571428539E-2</v>
      </c>
      <c r="G43" s="37">
        <f t="shared" si="0"/>
        <v>0.65500000000000103</v>
      </c>
    </row>
    <row r="44" spans="2:7" x14ac:dyDescent="0.2">
      <c r="B44" t="s">
        <v>104</v>
      </c>
      <c r="C44" s="2">
        <v>0.77013888888888904</v>
      </c>
      <c r="D44" s="2"/>
      <c r="E44" s="1">
        <v>725239090</v>
      </c>
      <c r="F44">
        <v>1.6071428571428539E-2</v>
      </c>
      <c r="G44" s="37">
        <f t="shared" si="0"/>
        <v>0.67107142857142954</v>
      </c>
    </row>
    <row r="45" spans="2:7" x14ac:dyDescent="0.2">
      <c r="B45" t="s">
        <v>106</v>
      </c>
      <c r="C45" s="2">
        <v>0.77083333333333304</v>
      </c>
      <c r="D45" s="2"/>
      <c r="E45" s="1">
        <v>725016230</v>
      </c>
      <c r="F45">
        <v>1.6071428571428539E-2</v>
      </c>
      <c r="G45" s="37">
        <f t="shared" si="0"/>
        <v>0.68714285714285805</v>
      </c>
    </row>
    <row r="46" spans="2:7" x14ac:dyDescent="0.2">
      <c r="B46" t="s">
        <v>108</v>
      </c>
      <c r="C46" s="2">
        <v>0.77152777777777803</v>
      </c>
      <c r="D46" s="2"/>
      <c r="E46" s="1">
        <v>725417640</v>
      </c>
      <c r="F46">
        <v>1.6071428571428539E-2</v>
      </c>
      <c r="G46" s="37">
        <f t="shared" si="0"/>
        <v>0.70321428571428657</v>
      </c>
    </row>
    <row r="47" spans="2:7" x14ac:dyDescent="0.2">
      <c r="B47" t="s">
        <v>110</v>
      </c>
      <c r="C47" s="2">
        <v>0.77222222222222203</v>
      </c>
      <c r="D47" s="2"/>
      <c r="E47" s="1">
        <v>725003030</v>
      </c>
      <c r="F47">
        <v>1.6071428571428539E-2</v>
      </c>
      <c r="G47" s="37">
        <f t="shared" si="0"/>
        <v>0.71928571428571508</v>
      </c>
    </row>
    <row r="48" spans="2:7" x14ac:dyDescent="0.2">
      <c r="B48" t="s">
        <v>112</v>
      </c>
      <c r="C48" s="2">
        <v>0.77291666666666703</v>
      </c>
      <c r="D48" s="2"/>
      <c r="E48" s="1">
        <v>725154230</v>
      </c>
      <c r="F48">
        <v>1.6071428571428539E-2</v>
      </c>
      <c r="G48" s="37">
        <f t="shared" si="0"/>
        <v>0.7353571428571436</v>
      </c>
    </row>
    <row r="49" spans="2:7" x14ac:dyDescent="0.2">
      <c r="B49" t="s">
        <v>114</v>
      </c>
      <c r="C49" s="2">
        <v>0.77361111111111103</v>
      </c>
      <c r="D49" s="2"/>
      <c r="E49" s="1">
        <v>725081800</v>
      </c>
      <c r="F49">
        <v>1.6071428571428539E-2</v>
      </c>
      <c r="G49" s="37">
        <f t="shared" si="0"/>
        <v>0.75142857142857211</v>
      </c>
    </row>
    <row r="50" spans="2:7" x14ac:dyDescent="0.2">
      <c r="B50" t="s">
        <v>116</v>
      </c>
      <c r="C50" s="2">
        <v>0.77430555555555503</v>
      </c>
      <c r="D50" s="2"/>
      <c r="E50" s="1">
        <v>725113160</v>
      </c>
      <c r="F50">
        <v>1.6071428571428539E-2</v>
      </c>
      <c r="G50" s="37">
        <f t="shared" si="0"/>
        <v>0.76750000000000063</v>
      </c>
    </row>
    <row r="51" spans="2:7" x14ac:dyDescent="0.2">
      <c r="B51" t="s">
        <v>118</v>
      </c>
      <c r="C51" s="2">
        <v>0.77500000000000002</v>
      </c>
      <c r="D51" s="2"/>
      <c r="E51" s="1">
        <v>725179910</v>
      </c>
      <c r="F51">
        <v>1.6071428571428539E-2</v>
      </c>
      <c r="G51" s="37">
        <f t="shared" si="0"/>
        <v>0.78357142857142914</v>
      </c>
    </row>
    <row r="52" spans="2:7" x14ac:dyDescent="0.2">
      <c r="B52" t="s">
        <v>120</v>
      </c>
      <c r="C52" s="2">
        <v>0.77569444444444402</v>
      </c>
      <c r="D52" s="2"/>
      <c r="E52" s="1">
        <v>725269150</v>
      </c>
      <c r="F52">
        <v>1.6071428571428539E-2</v>
      </c>
      <c r="G52" s="37">
        <f t="shared" si="0"/>
        <v>0.79964285714285765</v>
      </c>
    </row>
    <row r="53" spans="2:7" x14ac:dyDescent="0.2">
      <c r="B53" t="s">
        <v>122</v>
      </c>
      <c r="C53" s="2">
        <v>0.77638888888888902</v>
      </c>
      <c r="D53" s="2"/>
      <c r="E53" s="1">
        <v>725321180</v>
      </c>
      <c r="F53">
        <v>1.6071428571428539E-2</v>
      </c>
      <c r="G53" s="37">
        <f t="shared" si="0"/>
        <v>0.81571428571428617</v>
      </c>
    </row>
    <row r="54" spans="2:7" x14ac:dyDescent="0.2">
      <c r="B54" t="s">
        <v>124</v>
      </c>
      <c r="C54" s="2">
        <v>0.77708333333333302</v>
      </c>
      <c r="D54" s="2"/>
      <c r="E54" s="1">
        <v>725185360</v>
      </c>
      <c r="F54">
        <v>1.6071428571428539E-2</v>
      </c>
      <c r="G54" s="37">
        <f t="shared" si="0"/>
        <v>0.83178571428571468</v>
      </c>
    </row>
    <row r="55" spans="2:7" x14ac:dyDescent="0.2">
      <c r="B55" t="s">
        <v>126</v>
      </c>
      <c r="C55" s="2">
        <v>0.77777777777777801</v>
      </c>
      <c r="D55" s="2"/>
      <c r="E55" s="1">
        <v>725398050</v>
      </c>
      <c r="F55">
        <v>1.6071428571428539E-2</v>
      </c>
      <c r="G55" s="37">
        <f t="shared" si="0"/>
        <v>0.8478571428571432</v>
      </c>
    </row>
    <row r="56" spans="2:7" x14ac:dyDescent="0.2">
      <c r="B56" t="s">
        <v>128</v>
      </c>
      <c r="C56" s="2">
        <v>0.77847222222222201</v>
      </c>
      <c r="D56" s="2"/>
      <c r="E56" s="1">
        <v>725330860</v>
      </c>
      <c r="F56">
        <v>1.6071428571428539E-2</v>
      </c>
      <c r="G56" s="37">
        <f t="shared" si="0"/>
        <v>0.86392857142857171</v>
      </c>
    </row>
    <row r="57" spans="2:7" x14ac:dyDescent="0.2">
      <c r="B57" t="s">
        <v>130</v>
      </c>
      <c r="C57" s="2">
        <v>0.77916666666666701</v>
      </c>
      <c r="D57" s="2"/>
      <c r="E57" s="1">
        <v>725221960</v>
      </c>
      <c r="F57">
        <v>1.6071428571428539E-2</v>
      </c>
      <c r="G57" s="37">
        <f t="shared" si="0"/>
        <v>0.88000000000000023</v>
      </c>
    </row>
    <row r="58" spans="2:7" s="30" customFormat="1" x14ac:dyDescent="0.2">
      <c r="B58" s="30" t="s">
        <v>132</v>
      </c>
      <c r="C58" s="31">
        <v>0.77986111111111101</v>
      </c>
      <c r="D58" s="31"/>
      <c r="E58" s="32">
        <v>725074360</v>
      </c>
      <c r="F58" s="30">
        <v>1.5937499999999976E-2</v>
      </c>
      <c r="G58" s="37">
        <f t="shared" si="0"/>
        <v>0.89593750000000016</v>
      </c>
    </row>
    <row r="59" spans="2:7" x14ac:dyDescent="0.2">
      <c r="B59" t="s">
        <v>134</v>
      </c>
      <c r="C59" s="2">
        <v>0.780555555555555</v>
      </c>
      <c r="D59" s="2"/>
      <c r="E59" s="1">
        <v>725608920</v>
      </c>
      <c r="F59">
        <v>1.5937499999999976E-2</v>
      </c>
      <c r="G59" s="37">
        <f t="shared" si="0"/>
        <v>0.9118750000000001</v>
      </c>
    </row>
    <row r="60" spans="2:7" x14ac:dyDescent="0.2">
      <c r="B60" t="s">
        <v>136</v>
      </c>
      <c r="C60" s="2">
        <v>0.78125</v>
      </c>
      <c r="D60" s="2"/>
      <c r="E60" s="1">
        <v>725393910</v>
      </c>
      <c r="F60">
        <v>1.5937499999999976E-2</v>
      </c>
      <c r="G60" s="37">
        <f t="shared" si="0"/>
        <v>0.92781250000000004</v>
      </c>
    </row>
    <row r="61" spans="2:7" x14ac:dyDescent="0.2">
      <c r="B61" t="s">
        <v>138</v>
      </c>
      <c r="C61" s="2">
        <v>0.781944444444444</v>
      </c>
      <c r="D61" s="2"/>
      <c r="E61" s="1">
        <v>725405650</v>
      </c>
      <c r="F61">
        <v>1.5937499999999976E-2</v>
      </c>
      <c r="G61" s="37">
        <f t="shared" si="0"/>
        <v>0.94374999999999998</v>
      </c>
    </row>
    <row r="62" spans="2:7" x14ac:dyDescent="0.2">
      <c r="B62" t="s">
        <v>140</v>
      </c>
      <c r="C62" s="2">
        <v>0.78263888888888899</v>
      </c>
      <c r="D62" s="2"/>
      <c r="E62" s="1">
        <v>725551920</v>
      </c>
      <c r="F62">
        <v>1.5937499999999976E-2</v>
      </c>
      <c r="G62" s="37">
        <f t="shared" si="0"/>
        <v>0.95968749999999992</v>
      </c>
    </row>
    <row r="63" spans="2:7" x14ac:dyDescent="0.2">
      <c r="B63" t="s">
        <v>142</v>
      </c>
      <c r="C63" s="2">
        <v>0.78333333333333299</v>
      </c>
      <c r="D63" s="2"/>
      <c r="E63" s="1">
        <v>725195570</v>
      </c>
      <c r="F63">
        <v>1.5937499999999976E-2</v>
      </c>
      <c r="G63" s="37">
        <f t="shared" si="0"/>
        <v>0.97562499999999985</v>
      </c>
    </row>
    <row r="64" spans="2:7" x14ac:dyDescent="0.2">
      <c r="B64" t="s">
        <v>144</v>
      </c>
      <c r="C64" s="2">
        <v>0.78402777777777799</v>
      </c>
      <c r="D64" s="2"/>
      <c r="E64" s="1">
        <v>725389500</v>
      </c>
      <c r="F64">
        <v>1.5937499999999976E-2</v>
      </c>
      <c r="G64" s="37">
        <f t="shared" si="0"/>
        <v>0.99156249999999979</v>
      </c>
    </row>
    <row r="65" spans="2:7" x14ac:dyDescent="0.2">
      <c r="B65" t="s">
        <v>146</v>
      </c>
      <c r="C65" s="2">
        <v>0.78472222222222199</v>
      </c>
      <c r="D65" s="2"/>
      <c r="E65" s="1">
        <v>725511810</v>
      </c>
      <c r="F65">
        <v>1.5937499999999976E-2</v>
      </c>
      <c r="G65" s="37">
        <f t="shared" si="0"/>
        <v>1.0074999999999998</v>
      </c>
    </row>
    <row r="66" spans="2:7" x14ac:dyDescent="0.2">
      <c r="B66" t="s">
        <v>148</v>
      </c>
      <c r="C66" s="2">
        <v>0.78541666666666698</v>
      </c>
      <c r="D66" s="2"/>
      <c r="E66" s="1">
        <v>725324640</v>
      </c>
      <c r="F66">
        <v>1.5937499999999976E-2</v>
      </c>
      <c r="G66" s="37">
        <f t="shared" si="0"/>
        <v>1.0234374999999998</v>
      </c>
    </row>
    <row r="67" spans="2:7" x14ac:dyDescent="0.2">
      <c r="B67" t="s">
        <v>150</v>
      </c>
      <c r="C67" s="2">
        <v>0.78611111111111098</v>
      </c>
      <c r="D67" s="2"/>
      <c r="E67" s="1">
        <v>725281440</v>
      </c>
      <c r="F67">
        <v>1.5937499999999976E-2</v>
      </c>
      <c r="G67" s="37">
        <f t="shared" si="0"/>
        <v>1.0393749999999997</v>
      </c>
    </row>
    <row r="68" spans="2:7" x14ac:dyDescent="0.2">
      <c r="B68" t="s">
        <v>152</v>
      </c>
      <c r="C68" s="2">
        <v>0.78680555555555498</v>
      </c>
      <c r="D68" s="2"/>
      <c r="E68" s="1">
        <v>725260920</v>
      </c>
      <c r="F68">
        <v>1.5937499999999976E-2</v>
      </c>
      <c r="G68" s="37">
        <f t="shared" ref="G68:G131" si="1">G67+(F68)</f>
        <v>1.0553124999999997</v>
      </c>
    </row>
    <row r="69" spans="2:7" x14ac:dyDescent="0.2">
      <c r="B69" t="s">
        <v>154</v>
      </c>
      <c r="C69" s="2">
        <v>0.78749999999999998</v>
      </c>
      <c r="D69" s="2"/>
      <c r="E69" s="1">
        <v>725245780</v>
      </c>
      <c r="F69">
        <v>1.5937499999999976E-2</v>
      </c>
      <c r="G69" s="37">
        <f t="shared" si="1"/>
        <v>1.0712499999999996</v>
      </c>
    </row>
    <row r="70" spans="2:7" x14ac:dyDescent="0.2">
      <c r="B70" t="s">
        <v>156</v>
      </c>
      <c r="C70" s="2">
        <v>0.78819444444444398</v>
      </c>
      <c r="D70" s="2"/>
      <c r="E70" s="1">
        <v>725573050</v>
      </c>
      <c r="F70">
        <v>1.5937499999999976E-2</v>
      </c>
      <c r="G70" s="37">
        <f t="shared" si="1"/>
        <v>1.0871874999999995</v>
      </c>
    </row>
    <row r="71" spans="2:7" x14ac:dyDescent="0.2">
      <c r="B71" t="s">
        <v>158</v>
      </c>
      <c r="C71" s="2">
        <v>0.78888888888888897</v>
      </c>
      <c r="D71" s="2"/>
      <c r="E71" s="1">
        <v>725538260</v>
      </c>
      <c r="F71">
        <v>1.5937499999999976E-2</v>
      </c>
      <c r="G71" s="37">
        <f t="shared" si="1"/>
        <v>1.1031249999999995</v>
      </c>
    </row>
    <row r="72" spans="2:7" x14ac:dyDescent="0.2">
      <c r="B72" t="s">
        <v>160</v>
      </c>
      <c r="C72" s="2">
        <v>0.78958333333333297</v>
      </c>
      <c r="D72" s="2"/>
      <c r="E72" s="1">
        <v>725657030</v>
      </c>
      <c r="F72">
        <v>1.5937499999999976E-2</v>
      </c>
      <c r="G72" s="37">
        <f t="shared" si="1"/>
        <v>1.1190624999999994</v>
      </c>
    </row>
    <row r="73" spans="2:7" x14ac:dyDescent="0.2">
      <c r="B73" t="s">
        <v>162</v>
      </c>
      <c r="C73" s="2">
        <v>0.79027777777777797</v>
      </c>
      <c r="D73" s="2"/>
      <c r="E73" s="1">
        <v>725465510</v>
      </c>
      <c r="F73">
        <v>1.5937499999999976E-2</v>
      </c>
      <c r="G73" s="37">
        <f t="shared" si="1"/>
        <v>1.1349999999999993</v>
      </c>
    </row>
    <row r="74" spans="2:7" x14ac:dyDescent="0.2">
      <c r="B74" t="s">
        <v>164</v>
      </c>
      <c r="C74" s="2">
        <v>0.79097222222222197</v>
      </c>
      <c r="D74" s="2"/>
      <c r="E74" s="1">
        <v>725425960</v>
      </c>
      <c r="F74">
        <v>1.5937499999999976E-2</v>
      </c>
      <c r="G74" s="37">
        <f t="shared" si="1"/>
        <v>1.1509374999999993</v>
      </c>
    </row>
    <row r="75" spans="2:7" x14ac:dyDescent="0.2">
      <c r="B75" t="s">
        <v>166</v>
      </c>
      <c r="C75" s="2">
        <v>0.79166666666666696</v>
      </c>
      <c r="D75" s="2"/>
      <c r="E75" s="1">
        <v>725414810</v>
      </c>
      <c r="F75">
        <v>1.5937499999999976E-2</v>
      </c>
      <c r="G75" s="37">
        <f t="shared" si="1"/>
        <v>1.1668749999999992</v>
      </c>
    </row>
    <row r="76" spans="2:7" x14ac:dyDescent="0.2">
      <c r="B76" t="s">
        <v>168</v>
      </c>
      <c r="C76" s="2">
        <v>0.79236111111111096</v>
      </c>
      <c r="D76" s="2"/>
      <c r="E76" s="1">
        <v>725429030</v>
      </c>
      <c r="F76">
        <v>1.5937499999999976E-2</v>
      </c>
      <c r="G76" s="37">
        <f t="shared" si="1"/>
        <v>1.1828124999999992</v>
      </c>
    </row>
    <row r="77" spans="2:7" x14ac:dyDescent="0.2">
      <c r="B77" t="s">
        <v>170</v>
      </c>
      <c r="C77" s="2">
        <v>0.79305555555555496</v>
      </c>
      <c r="D77" s="2"/>
      <c r="E77" s="1">
        <v>725309260</v>
      </c>
      <c r="F77">
        <v>1.5937499999999976E-2</v>
      </c>
      <c r="G77" s="37">
        <f t="shared" si="1"/>
        <v>1.1987499999999991</v>
      </c>
    </row>
    <row r="78" spans="2:7" x14ac:dyDescent="0.2">
      <c r="B78" t="s">
        <v>172</v>
      </c>
      <c r="C78" s="2">
        <v>0.79374999999999996</v>
      </c>
      <c r="D78" s="2"/>
      <c r="E78" s="1">
        <v>725589780</v>
      </c>
      <c r="F78">
        <v>1.5937499999999976E-2</v>
      </c>
      <c r="G78" s="37">
        <f t="shared" si="1"/>
        <v>1.214687499999999</v>
      </c>
    </row>
    <row r="79" spans="2:7" x14ac:dyDescent="0.2">
      <c r="B79" t="s">
        <v>174</v>
      </c>
      <c r="C79" s="2">
        <v>0.79444444444444395</v>
      </c>
      <c r="D79" s="2"/>
      <c r="E79" s="1">
        <v>725612630</v>
      </c>
      <c r="F79">
        <v>1.5937499999999976E-2</v>
      </c>
      <c r="G79" s="37">
        <f t="shared" si="1"/>
        <v>1.230624999999999</v>
      </c>
    </row>
    <row r="80" spans="2:7" x14ac:dyDescent="0.2">
      <c r="B80" t="s">
        <v>176</v>
      </c>
      <c r="C80" s="2">
        <v>0.79513888888888895</v>
      </c>
      <c r="D80" s="2"/>
      <c r="E80" s="1">
        <v>725708550</v>
      </c>
      <c r="F80">
        <v>1.5937499999999976E-2</v>
      </c>
      <c r="G80" s="37">
        <f t="shared" si="1"/>
        <v>1.2465624999999989</v>
      </c>
    </row>
    <row r="81" spans="2:7" x14ac:dyDescent="0.2">
      <c r="B81" t="s">
        <v>178</v>
      </c>
      <c r="C81" s="2">
        <v>0.79583333333333295</v>
      </c>
      <c r="D81" s="2"/>
      <c r="E81" s="1">
        <v>725605580</v>
      </c>
      <c r="F81">
        <v>1.5937499999999976E-2</v>
      </c>
      <c r="G81" s="37">
        <f t="shared" si="1"/>
        <v>1.2624999999999988</v>
      </c>
    </row>
    <row r="82" spans="2:7" x14ac:dyDescent="0.2">
      <c r="B82" t="s">
        <v>180</v>
      </c>
      <c r="C82" s="2">
        <v>0.79652777777777795</v>
      </c>
      <c r="D82" s="2"/>
      <c r="E82" s="1">
        <v>725644490</v>
      </c>
      <c r="F82">
        <v>1.5937499999999976E-2</v>
      </c>
      <c r="G82" s="37">
        <f t="shared" si="1"/>
        <v>1.2784374999999988</v>
      </c>
    </row>
    <row r="83" spans="2:7" x14ac:dyDescent="0.2">
      <c r="B83" t="s">
        <v>182</v>
      </c>
      <c r="C83" s="2">
        <v>0.79722222222222205</v>
      </c>
      <c r="D83" s="2"/>
      <c r="E83" s="1">
        <v>725793320</v>
      </c>
      <c r="F83">
        <v>1.5937499999999976E-2</v>
      </c>
      <c r="G83" s="37">
        <f t="shared" si="1"/>
        <v>1.2943749999999987</v>
      </c>
    </row>
    <row r="84" spans="2:7" x14ac:dyDescent="0.2">
      <c r="B84" t="s">
        <v>184</v>
      </c>
      <c r="C84" s="2">
        <v>0.79791666666666605</v>
      </c>
      <c r="D84" s="2"/>
      <c r="E84" s="1">
        <v>725847720</v>
      </c>
      <c r="F84">
        <v>1.5937499999999976E-2</v>
      </c>
      <c r="G84" s="37">
        <f t="shared" si="1"/>
        <v>1.3103124999999987</v>
      </c>
    </row>
    <row r="85" spans="2:7" x14ac:dyDescent="0.2">
      <c r="B85" t="s">
        <v>186</v>
      </c>
      <c r="C85" s="2">
        <v>0.79861111111111105</v>
      </c>
      <c r="D85" s="2"/>
      <c r="E85" s="1">
        <v>725661630</v>
      </c>
      <c r="F85">
        <v>1.5937499999999976E-2</v>
      </c>
      <c r="G85" s="37">
        <f t="shared" si="1"/>
        <v>1.3262499999999986</v>
      </c>
    </row>
    <row r="86" spans="2:7" x14ac:dyDescent="0.2">
      <c r="B86" t="s">
        <v>189</v>
      </c>
      <c r="C86" s="2">
        <v>0.79930555555555505</v>
      </c>
      <c r="D86" s="2"/>
      <c r="E86" s="1">
        <v>725676400</v>
      </c>
      <c r="F86">
        <v>1.5937499999999976E-2</v>
      </c>
      <c r="G86" s="37">
        <f t="shared" si="1"/>
        <v>1.3421874999999985</v>
      </c>
    </row>
    <row r="87" spans="2:7" x14ac:dyDescent="0.2">
      <c r="B87" t="s">
        <v>191</v>
      </c>
      <c r="C87" s="2">
        <v>0.8</v>
      </c>
      <c r="D87" s="2"/>
      <c r="E87" s="1">
        <v>725726860</v>
      </c>
      <c r="F87">
        <v>1.5937499999999976E-2</v>
      </c>
      <c r="G87" s="37">
        <f t="shared" si="1"/>
        <v>1.3581249999999985</v>
      </c>
    </row>
    <row r="88" spans="2:7" x14ac:dyDescent="0.2">
      <c r="B88" t="s">
        <v>193</v>
      </c>
      <c r="C88" s="2">
        <v>0.80069444444444404</v>
      </c>
      <c r="D88" s="2"/>
      <c r="E88" s="1">
        <v>725851190</v>
      </c>
      <c r="F88">
        <v>1.5937499999999976E-2</v>
      </c>
      <c r="G88" s="37">
        <f t="shared" si="1"/>
        <v>1.3740624999999984</v>
      </c>
    </row>
    <row r="89" spans="2:7" x14ac:dyDescent="0.2">
      <c r="B89" t="s">
        <v>195</v>
      </c>
      <c r="C89" s="2">
        <v>0.80138888888888904</v>
      </c>
      <c r="D89" s="2"/>
      <c r="E89" s="1">
        <v>725635520</v>
      </c>
      <c r="F89">
        <v>1.5937499999999976E-2</v>
      </c>
      <c r="G89" s="37">
        <f t="shared" si="1"/>
        <v>1.3899999999999983</v>
      </c>
    </row>
    <row r="90" spans="2:7" s="30" customFormat="1" x14ac:dyDescent="0.2">
      <c r="B90" s="30" t="s">
        <v>197</v>
      </c>
      <c r="C90" s="31">
        <v>0.80208333333333304</v>
      </c>
      <c r="D90" s="31"/>
      <c r="E90" s="32">
        <v>725811860</v>
      </c>
      <c r="F90" s="30">
        <v>1.6E-2</v>
      </c>
      <c r="G90" s="37">
        <f t="shared" si="1"/>
        <v>1.4059999999999984</v>
      </c>
    </row>
    <row r="91" spans="2:7" x14ac:dyDescent="0.2">
      <c r="B91" t="s">
        <v>199</v>
      </c>
      <c r="C91" s="2">
        <v>0.80277777777777803</v>
      </c>
      <c r="D91" s="2"/>
      <c r="E91" s="1">
        <v>725902000</v>
      </c>
      <c r="F91">
        <v>1.6E-2</v>
      </c>
      <c r="G91" s="37">
        <f t="shared" si="1"/>
        <v>1.4219999999999984</v>
      </c>
    </row>
    <row r="92" spans="2:7" x14ac:dyDescent="0.2">
      <c r="B92" t="s">
        <v>201</v>
      </c>
      <c r="C92" s="2">
        <v>0.80347222222222203</v>
      </c>
      <c r="D92" s="2"/>
      <c r="E92" s="1">
        <v>726007490</v>
      </c>
      <c r="F92">
        <v>1.6E-2</v>
      </c>
      <c r="G92" s="37">
        <f t="shared" si="1"/>
        <v>1.4379999999999984</v>
      </c>
    </row>
    <row r="93" spans="2:7" x14ac:dyDescent="0.2">
      <c r="B93" t="s">
        <v>203</v>
      </c>
      <c r="C93" s="2">
        <v>0.80416666666666603</v>
      </c>
      <c r="D93" s="2"/>
      <c r="E93" s="1">
        <v>725976070</v>
      </c>
      <c r="F93">
        <v>1.6E-2</v>
      </c>
      <c r="G93" s="37">
        <f t="shared" si="1"/>
        <v>1.4539999999999984</v>
      </c>
    </row>
    <row r="94" spans="2:7" x14ac:dyDescent="0.2">
      <c r="B94" t="s">
        <v>205</v>
      </c>
      <c r="C94" s="2">
        <v>0.80486111111111103</v>
      </c>
      <c r="D94" s="2"/>
      <c r="E94" s="1">
        <v>725962340</v>
      </c>
      <c r="F94">
        <v>1.6E-2</v>
      </c>
      <c r="G94" s="37">
        <f t="shared" si="1"/>
        <v>1.4699999999999984</v>
      </c>
    </row>
    <row r="95" spans="2:7" x14ac:dyDescent="0.2">
      <c r="B95" t="s">
        <v>207</v>
      </c>
      <c r="C95" s="2">
        <v>0.80555555555555503</v>
      </c>
      <c r="D95" s="2"/>
      <c r="E95" s="1">
        <v>725974730</v>
      </c>
      <c r="F95">
        <v>1.6E-2</v>
      </c>
      <c r="G95" s="37">
        <f t="shared" si="1"/>
        <v>1.4859999999999984</v>
      </c>
    </row>
    <row r="96" spans="2:7" x14ac:dyDescent="0.2">
      <c r="B96" t="s">
        <v>209</v>
      </c>
      <c r="C96" s="2">
        <v>0.80625000000000002</v>
      </c>
      <c r="D96" s="2"/>
      <c r="E96" s="1">
        <v>725952650</v>
      </c>
      <c r="F96">
        <v>1.6E-2</v>
      </c>
      <c r="G96" s="37">
        <f t="shared" si="1"/>
        <v>1.5019999999999984</v>
      </c>
    </row>
    <row r="97" spans="2:7" x14ac:dyDescent="0.2">
      <c r="B97" t="s">
        <v>211</v>
      </c>
      <c r="C97" s="2">
        <v>0.80694444444444402</v>
      </c>
      <c r="D97" s="2"/>
      <c r="E97" s="1">
        <v>726219430</v>
      </c>
      <c r="F97">
        <v>1.6E-2</v>
      </c>
      <c r="G97" s="37">
        <f t="shared" si="1"/>
        <v>1.5179999999999985</v>
      </c>
    </row>
    <row r="98" spans="2:7" x14ac:dyDescent="0.2">
      <c r="B98" t="s">
        <v>213</v>
      </c>
      <c r="C98" s="2">
        <v>0.80763888888888902</v>
      </c>
      <c r="D98" s="2"/>
      <c r="E98" s="1">
        <v>725991650</v>
      </c>
      <c r="F98">
        <v>1.6E-2</v>
      </c>
      <c r="G98" s="37">
        <f t="shared" si="1"/>
        <v>1.5339999999999985</v>
      </c>
    </row>
    <row r="99" spans="2:7" x14ac:dyDescent="0.2">
      <c r="B99" t="s">
        <v>215</v>
      </c>
      <c r="C99" s="2">
        <v>0.80833333333333302</v>
      </c>
      <c r="D99" s="2"/>
      <c r="E99" s="1">
        <v>725968960</v>
      </c>
      <c r="F99">
        <v>1.6E-2</v>
      </c>
      <c r="G99" s="37">
        <f t="shared" si="1"/>
        <v>1.5499999999999985</v>
      </c>
    </row>
    <row r="100" spans="2:7" x14ac:dyDescent="0.2">
      <c r="B100" t="s">
        <v>217</v>
      </c>
      <c r="C100" s="2">
        <v>0.80902777777777801</v>
      </c>
      <c r="D100" s="2"/>
      <c r="E100" s="1">
        <v>725775330</v>
      </c>
      <c r="F100">
        <v>1.6E-2</v>
      </c>
      <c r="G100" s="37">
        <f t="shared" si="1"/>
        <v>1.5659999999999985</v>
      </c>
    </row>
    <row r="101" spans="2:7" x14ac:dyDescent="0.2">
      <c r="B101" t="s">
        <v>219</v>
      </c>
      <c r="C101" s="2">
        <v>0.80972222222222201</v>
      </c>
      <c r="D101" s="2"/>
      <c r="E101" s="1">
        <v>726077270</v>
      </c>
      <c r="F101">
        <v>1.6E-2</v>
      </c>
      <c r="G101" s="37">
        <f t="shared" si="1"/>
        <v>1.5819999999999985</v>
      </c>
    </row>
    <row r="102" spans="2:7" x14ac:dyDescent="0.2">
      <c r="B102" t="s">
        <v>221</v>
      </c>
      <c r="C102" s="2">
        <v>0.81041666666666601</v>
      </c>
      <c r="D102" s="2"/>
      <c r="E102" s="1">
        <v>725906150</v>
      </c>
      <c r="F102">
        <v>1.6E-2</v>
      </c>
      <c r="G102" s="37">
        <f t="shared" si="1"/>
        <v>1.5979999999999985</v>
      </c>
    </row>
    <row r="103" spans="2:7" x14ac:dyDescent="0.2">
      <c r="B103" t="s">
        <v>223</v>
      </c>
      <c r="C103" s="2">
        <v>0.81111111111111101</v>
      </c>
      <c r="D103" s="2"/>
      <c r="E103" s="1">
        <v>726087330</v>
      </c>
      <c r="F103">
        <v>1.6E-2</v>
      </c>
      <c r="G103" s="37">
        <f t="shared" si="1"/>
        <v>1.6139999999999985</v>
      </c>
    </row>
    <row r="104" spans="2:7" x14ac:dyDescent="0.2">
      <c r="B104" t="s">
        <v>225</v>
      </c>
      <c r="C104" s="2">
        <v>0.811805555555555</v>
      </c>
      <c r="D104" s="2"/>
      <c r="E104" s="1">
        <v>725917540</v>
      </c>
      <c r="F104">
        <v>1.6E-2</v>
      </c>
      <c r="G104" s="37">
        <f t="shared" si="1"/>
        <v>1.6299999999999986</v>
      </c>
    </row>
    <row r="105" spans="2:7" x14ac:dyDescent="0.2">
      <c r="B105" t="s">
        <v>227</v>
      </c>
      <c r="C105" s="2">
        <v>0.8125</v>
      </c>
      <c r="D105" s="2"/>
      <c r="E105" s="1">
        <v>725981020</v>
      </c>
      <c r="F105">
        <v>1.6E-2</v>
      </c>
      <c r="G105" s="37">
        <f t="shared" si="1"/>
        <v>1.6459999999999986</v>
      </c>
    </row>
    <row r="106" spans="2:7" x14ac:dyDescent="0.2">
      <c r="B106" t="s">
        <v>229</v>
      </c>
      <c r="C106" s="2">
        <v>0.813194444444444</v>
      </c>
      <c r="D106" s="2"/>
      <c r="E106" s="1">
        <v>726001890</v>
      </c>
      <c r="F106">
        <v>1.6E-2</v>
      </c>
      <c r="G106" s="37">
        <f t="shared" si="1"/>
        <v>1.6619999999999986</v>
      </c>
    </row>
    <row r="107" spans="2:7" x14ac:dyDescent="0.2">
      <c r="B107" t="s">
        <v>231</v>
      </c>
      <c r="C107" s="2">
        <v>0.81388888888888899</v>
      </c>
      <c r="D107" s="2"/>
      <c r="E107" s="1">
        <v>725757710</v>
      </c>
      <c r="F107">
        <v>1.6E-2</v>
      </c>
      <c r="G107" s="37">
        <f t="shared" si="1"/>
        <v>1.6779999999999986</v>
      </c>
    </row>
    <row r="108" spans="2:7" x14ac:dyDescent="0.2">
      <c r="B108" t="s">
        <v>233</v>
      </c>
      <c r="C108" s="2">
        <v>0.81458333333333299</v>
      </c>
      <c r="D108" s="2"/>
      <c r="E108" s="1">
        <v>726214610</v>
      </c>
      <c r="F108">
        <v>1.6E-2</v>
      </c>
      <c r="G108" s="37">
        <f t="shared" si="1"/>
        <v>1.6939999999999986</v>
      </c>
    </row>
    <row r="109" spans="2:7" x14ac:dyDescent="0.2">
      <c r="B109" t="s">
        <v>235</v>
      </c>
      <c r="C109" s="2">
        <v>0.81527777777777799</v>
      </c>
      <c r="D109" s="2"/>
      <c r="E109" s="1">
        <v>726166540</v>
      </c>
      <c r="F109">
        <v>1.6E-2</v>
      </c>
      <c r="G109" s="37">
        <f t="shared" si="1"/>
        <v>1.7099999999999986</v>
      </c>
    </row>
    <row r="110" spans="2:7" x14ac:dyDescent="0.2">
      <c r="B110" t="s">
        <v>237</v>
      </c>
      <c r="C110" s="2">
        <v>0.81597222222222199</v>
      </c>
      <c r="D110" s="2"/>
      <c r="E110" s="1">
        <v>726208880</v>
      </c>
      <c r="F110">
        <v>1.6E-2</v>
      </c>
      <c r="G110" s="37">
        <f t="shared" si="1"/>
        <v>1.7259999999999986</v>
      </c>
    </row>
    <row r="111" spans="2:7" x14ac:dyDescent="0.2">
      <c r="B111" t="s">
        <v>239</v>
      </c>
      <c r="C111" s="2">
        <v>0.81666666666666599</v>
      </c>
      <c r="D111" s="2"/>
      <c r="E111" s="1">
        <v>726251900</v>
      </c>
      <c r="F111">
        <v>1.6E-2</v>
      </c>
      <c r="G111" s="37">
        <f t="shared" si="1"/>
        <v>1.7419999999999987</v>
      </c>
    </row>
    <row r="112" spans="2:7" x14ac:dyDescent="0.2">
      <c r="B112" t="s">
        <v>241</v>
      </c>
      <c r="C112" s="2">
        <v>0.81736111111111098</v>
      </c>
      <c r="D112" s="2"/>
      <c r="E112" s="1">
        <v>726160330</v>
      </c>
      <c r="F112">
        <v>1.6E-2</v>
      </c>
      <c r="G112" s="37">
        <f t="shared" si="1"/>
        <v>1.7579999999999987</v>
      </c>
    </row>
    <row r="113" spans="2:7" x14ac:dyDescent="0.2">
      <c r="B113" t="s">
        <v>243</v>
      </c>
      <c r="C113" s="2">
        <v>0.81805555555555498</v>
      </c>
      <c r="D113" s="2"/>
      <c r="E113" s="1">
        <v>726510030</v>
      </c>
      <c r="F113">
        <v>1.6E-2</v>
      </c>
      <c r="G113" s="37">
        <f t="shared" si="1"/>
        <v>1.7739999999999987</v>
      </c>
    </row>
    <row r="114" spans="2:7" x14ac:dyDescent="0.2">
      <c r="B114" t="s">
        <v>245</v>
      </c>
      <c r="C114" s="2">
        <v>0.81874999999999998</v>
      </c>
      <c r="D114" s="2"/>
      <c r="E114" s="1">
        <v>726177430</v>
      </c>
      <c r="F114">
        <v>1.6E-2</v>
      </c>
      <c r="G114" s="37">
        <f t="shared" si="1"/>
        <v>1.7899999999999987</v>
      </c>
    </row>
    <row r="115" spans="2:7" x14ac:dyDescent="0.2">
      <c r="B115" t="s">
        <v>247</v>
      </c>
      <c r="C115" s="2">
        <v>0.81944444444444398</v>
      </c>
      <c r="D115" s="2"/>
      <c r="E115" s="1">
        <v>726202880</v>
      </c>
      <c r="F115">
        <v>1.6E-2</v>
      </c>
      <c r="G115" s="37">
        <f t="shared" si="1"/>
        <v>1.8059999999999987</v>
      </c>
    </row>
    <row r="116" spans="2:7" x14ac:dyDescent="0.2">
      <c r="B116" t="s">
        <v>249</v>
      </c>
      <c r="C116" s="2">
        <v>0.82013888888888897</v>
      </c>
      <c r="D116" s="2"/>
      <c r="E116" s="1">
        <v>726182060</v>
      </c>
      <c r="F116">
        <v>1.6E-2</v>
      </c>
      <c r="G116" s="37">
        <f t="shared" si="1"/>
        <v>1.8219999999999987</v>
      </c>
    </row>
    <row r="117" spans="2:7" x14ac:dyDescent="0.2">
      <c r="B117" t="s">
        <v>251</v>
      </c>
      <c r="C117" s="2">
        <v>0.82083333333333297</v>
      </c>
      <c r="D117" s="2"/>
      <c r="E117" s="1">
        <v>726211880</v>
      </c>
      <c r="F117">
        <v>1.6E-2</v>
      </c>
      <c r="G117" s="37">
        <f t="shared" si="1"/>
        <v>1.8379999999999987</v>
      </c>
    </row>
    <row r="118" spans="2:7" x14ac:dyDescent="0.2">
      <c r="B118" t="s">
        <v>253</v>
      </c>
      <c r="C118" s="2">
        <v>0.82152777777777797</v>
      </c>
      <c r="D118" s="2"/>
      <c r="E118" s="1">
        <v>725992750</v>
      </c>
      <c r="F118">
        <v>1.6E-2</v>
      </c>
      <c r="G118" s="37">
        <f t="shared" si="1"/>
        <v>1.8539999999999988</v>
      </c>
    </row>
    <row r="119" spans="2:7" x14ac:dyDescent="0.2">
      <c r="B119" t="s">
        <v>255</v>
      </c>
      <c r="C119" s="2">
        <v>0.82222222222222197</v>
      </c>
      <c r="D119" s="2"/>
      <c r="E119" s="1">
        <v>726086160</v>
      </c>
      <c r="F119">
        <v>1.6E-2</v>
      </c>
      <c r="G119" s="37">
        <f t="shared" si="1"/>
        <v>1.8699999999999988</v>
      </c>
    </row>
    <row r="120" spans="2:7" s="30" customFormat="1" x14ac:dyDescent="0.2">
      <c r="B120" s="30" t="s">
        <v>257</v>
      </c>
      <c r="C120" s="31">
        <v>0.82291666666666596</v>
      </c>
      <c r="D120" s="31"/>
      <c r="E120" s="32">
        <v>726102900</v>
      </c>
      <c r="F120" s="30">
        <v>1.5945945945945932E-2</v>
      </c>
      <c r="G120" s="37">
        <f t="shared" si="1"/>
        <v>1.8859459459459447</v>
      </c>
    </row>
    <row r="121" spans="2:7" x14ac:dyDescent="0.2">
      <c r="B121" t="s">
        <v>259</v>
      </c>
      <c r="C121" s="2">
        <v>0.82361111111111096</v>
      </c>
      <c r="D121" s="2"/>
      <c r="E121" s="1">
        <v>726111070</v>
      </c>
      <c r="F121">
        <v>1.5945945945945932E-2</v>
      </c>
      <c r="G121" s="37">
        <f t="shared" si="1"/>
        <v>1.9018918918918906</v>
      </c>
    </row>
    <row r="122" spans="2:7" x14ac:dyDescent="0.2">
      <c r="B122" t="s">
        <v>261</v>
      </c>
      <c r="C122" s="2">
        <v>0.82430555555555496</v>
      </c>
      <c r="D122" s="2"/>
      <c r="E122" s="1">
        <v>726472460</v>
      </c>
      <c r="F122">
        <v>1.5945945945945932E-2</v>
      </c>
      <c r="G122" s="37">
        <f t="shared" si="1"/>
        <v>1.9178378378378365</v>
      </c>
    </row>
    <row r="123" spans="2:7" x14ac:dyDescent="0.2">
      <c r="B123" t="s">
        <v>263</v>
      </c>
      <c r="C123" s="2">
        <v>0.82499999999999996</v>
      </c>
      <c r="D123" s="2"/>
      <c r="E123" s="1">
        <v>726111570</v>
      </c>
      <c r="F123">
        <v>1.5945945945945932E-2</v>
      </c>
      <c r="G123" s="37">
        <f t="shared" si="1"/>
        <v>1.9337837837837824</v>
      </c>
    </row>
    <row r="124" spans="2:7" x14ac:dyDescent="0.2">
      <c r="B124" t="s">
        <v>265</v>
      </c>
      <c r="C124" s="2">
        <v>0.82569444444444395</v>
      </c>
      <c r="D124" s="2"/>
      <c r="E124" s="1">
        <v>726349890</v>
      </c>
      <c r="F124">
        <v>1.5945945945945932E-2</v>
      </c>
      <c r="G124" s="37">
        <f t="shared" si="1"/>
        <v>1.9497297297297282</v>
      </c>
    </row>
    <row r="125" spans="2:7" x14ac:dyDescent="0.2">
      <c r="B125" t="s">
        <v>267</v>
      </c>
      <c r="C125" s="2">
        <v>0.82638888888888895</v>
      </c>
      <c r="D125" s="2"/>
      <c r="E125" s="1">
        <v>726227330</v>
      </c>
      <c r="F125">
        <v>1.5945945945945932E-2</v>
      </c>
      <c r="G125" s="37">
        <f t="shared" si="1"/>
        <v>1.9656756756756741</v>
      </c>
    </row>
    <row r="126" spans="2:7" x14ac:dyDescent="0.2">
      <c r="B126" t="s">
        <v>269</v>
      </c>
      <c r="C126" s="2">
        <v>0.82708333333333295</v>
      </c>
      <c r="D126" s="2"/>
      <c r="E126" s="1">
        <v>726418370</v>
      </c>
      <c r="F126">
        <v>1.5945945945945932E-2</v>
      </c>
      <c r="G126" s="37">
        <f t="shared" si="1"/>
        <v>1.98162162162162</v>
      </c>
    </row>
    <row r="127" spans="2:7" x14ac:dyDescent="0.2">
      <c r="B127" t="s">
        <v>271</v>
      </c>
      <c r="C127" s="2">
        <v>0.82777777777777795</v>
      </c>
      <c r="D127" s="2"/>
      <c r="E127" s="1">
        <v>726311930</v>
      </c>
      <c r="F127">
        <v>1.5945945945945932E-2</v>
      </c>
      <c r="G127" s="37">
        <f t="shared" si="1"/>
        <v>1.9975675675675659</v>
      </c>
    </row>
    <row r="128" spans="2:7" x14ac:dyDescent="0.2">
      <c r="B128" t="s">
        <v>273</v>
      </c>
      <c r="C128" s="2">
        <v>0.82847222222222205</v>
      </c>
      <c r="D128" s="2"/>
      <c r="E128" s="1">
        <v>726330160</v>
      </c>
      <c r="F128">
        <v>1.5945945945945932E-2</v>
      </c>
      <c r="G128" s="37">
        <f t="shared" si="1"/>
        <v>2.0135135135135118</v>
      </c>
    </row>
    <row r="129" spans="2:7" x14ac:dyDescent="0.2">
      <c r="B129" t="s">
        <v>275</v>
      </c>
      <c r="C129" s="2">
        <v>0.82916666666666605</v>
      </c>
      <c r="D129" s="2"/>
      <c r="E129" s="1">
        <v>726539660</v>
      </c>
      <c r="F129">
        <v>1.5945945945945932E-2</v>
      </c>
      <c r="G129" s="37">
        <f t="shared" si="1"/>
        <v>2.0294594594594577</v>
      </c>
    </row>
    <row r="130" spans="2:7" x14ac:dyDescent="0.2">
      <c r="B130" t="s">
        <v>277</v>
      </c>
      <c r="C130" s="2">
        <v>0.82986111111111105</v>
      </c>
      <c r="D130" s="2"/>
      <c r="E130" s="1">
        <v>726275340</v>
      </c>
      <c r="F130">
        <v>1.5945945945945932E-2</v>
      </c>
      <c r="G130" s="37">
        <f t="shared" si="1"/>
        <v>2.0454054054054036</v>
      </c>
    </row>
    <row r="131" spans="2:7" x14ac:dyDescent="0.2">
      <c r="B131" t="s">
        <v>279</v>
      </c>
      <c r="C131" s="2">
        <v>0.83055555555555505</v>
      </c>
      <c r="D131" s="2"/>
      <c r="E131" s="1">
        <v>726154100</v>
      </c>
      <c r="F131">
        <v>1.5945945945945932E-2</v>
      </c>
      <c r="G131" s="37">
        <f t="shared" si="1"/>
        <v>2.0613513513513495</v>
      </c>
    </row>
    <row r="132" spans="2:7" x14ac:dyDescent="0.2">
      <c r="B132" t="s">
        <v>281</v>
      </c>
      <c r="C132" s="2">
        <v>0.83125000000000004</v>
      </c>
      <c r="D132" s="2"/>
      <c r="E132" s="1">
        <v>726202980</v>
      </c>
      <c r="F132">
        <v>1.5945945945945932E-2</v>
      </c>
      <c r="G132" s="37">
        <f t="shared" ref="G132:G195" si="2">G131+(F132)</f>
        <v>2.0772972972972954</v>
      </c>
    </row>
    <row r="133" spans="2:7" x14ac:dyDescent="0.2">
      <c r="B133" t="s">
        <v>283</v>
      </c>
      <c r="C133" s="2">
        <v>0.83194444444444404</v>
      </c>
      <c r="D133" s="2"/>
      <c r="E133" s="1">
        <v>726338210</v>
      </c>
      <c r="F133">
        <v>1.5945945945945932E-2</v>
      </c>
      <c r="G133" s="37">
        <f t="shared" si="2"/>
        <v>2.0932432432432413</v>
      </c>
    </row>
    <row r="134" spans="2:7" x14ac:dyDescent="0.2">
      <c r="B134" t="s">
        <v>285</v>
      </c>
      <c r="C134" s="2">
        <v>0.83263888888888904</v>
      </c>
      <c r="D134" s="2"/>
      <c r="E134" s="1">
        <v>726416840</v>
      </c>
      <c r="F134">
        <v>1.5945945945945932E-2</v>
      </c>
      <c r="G134" s="37">
        <f t="shared" si="2"/>
        <v>2.1091891891891872</v>
      </c>
    </row>
    <row r="135" spans="2:7" x14ac:dyDescent="0.2">
      <c r="B135" t="s">
        <v>287</v>
      </c>
      <c r="C135" s="2">
        <v>0.83333333333333304</v>
      </c>
      <c r="D135" s="2"/>
      <c r="E135" s="1">
        <v>726322400</v>
      </c>
      <c r="F135">
        <v>1.5945945945945932E-2</v>
      </c>
      <c r="G135" s="37">
        <f t="shared" si="2"/>
        <v>2.1251351351351331</v>
      </c>
    </row>
    <row r="136" spans="2:7" x14ac:dyDescent="0.2">
      <c r="B136" t="s">
        <v>289</v>
      </c>
      <c r="C136" s="2">
        <v>0.83402777777777704</v>
      </c>
      <c r="D136" s="2"/>
      <c r="E136" s="1">
        <v>726396930</v>
      </c>
      <c r="F136">
        <v>1.5945945945945932E-2</v>
      </c>
      <c r="G136" s="37">
        <f t="shared" si="2"/>
        <v>2.141081081081079</v>
      </c>
    </row>
    <row r="137" spans="2:7" x14ac:dyDescent="0.2">
      <c r="B137" t="s">
        <v>291</v>
      </c>
      <c r="C137" s="2">
        <v>0.83472222222222203</v>
      </c>
      <c r="D137" s="2"/>
      <c r="E137" s="1">
        <v>726530380</v>
      </c>
      <c r="F137">
        <v>1.5945945945945932E-2</v>
      </c>
      <c r="G137" s="37">
        <f t="shared" si="2"/>
        <v>2.1570270270270249</v>
      </c>
    </row>
    <row r="138" spans="2:7" x14ac:dyDescent="0.2">
      <c r="B138" t="s">
        <v>293</v>
      </c>
      <c r="C138" s="2">
        <v>0.83541666666666603</v>
      </c>
      <c r="D138" s="2"/>
      <c r="E138" s="1">
        <v>726583180</v>
      </c>
      <c r="F138">
        <v>1.5945945945945932E-2</v>
      </c>
      <c r="G138" s="37">
        <f t="shared" si="2"/>
        <v>2.1729729729729708</v>
      </c>
    </row>
    <row r="139" spans="2:7" x14ac:dyDescent="0.2">
      <c r="B139" t="s">
        <v>295</v>
      </c>
      <c r="C139" s="2">
        <v>0.83611111111111103</v>
      </c>
      <c r="D139" s="2"/>
      <c r="E139" s="1">
        <v>726453950</v>
      </c>
      <c r="F139">
        <v>1.5945945945945932E-2</v>
      </c>
      <c r="G139" s="37">
        <f t="shared" si="2"/>
        <v>2.1889189189189167</v>
      </c>
    </row>
    <row r="140" spans="2:7" x14ac:dyDescent="0.2">
      <c r="B140" t="s">
        <v>297</v>
      </c>
      <c r="C140" s="2">
        <v>0.83680555555555503</v>
      </c>
      <c r="D140" s="2"/>
      <c r="E140" s="1">
        <v>726600700</v>
      </c>
      <c r="F140">
        <v>1.5945945945945932E-2</v>
      </c>
      <c r="G140" s="37">
        <f t="shared" si="2"/>
        <v>2.2048648648648626</v>
      </c>
    </row>
    <row r="141" spans="2:7" x14ac:dyDescent="0.2">
      <c r="B141" t="s">
        <v>299</v>
      </c>
      <c r="C141" s="2">
        <v>0.83750000000000002</v>
      </c>
      <c r="D141" s="2"/>
      <c r="E141" s="1">
        <v>726687500</v>
      </c>
      <c r="F141">
        <v>1.5945945945945932E-2</v>
      </c>
      <c r="G141" s="37">
        <f t="shared" si="2"/>
        <v>2.2208108108108084</v>
      </c>
    </row>
    <row r="142" spans="2:7" x14ac:dyDescent="0.2">
      <c r="B142" t="s">
        <v>301</v>
      </c>
      <c r="C142" s="2">
        <v>0.83819444444444402</v>
      </c>
      <c r="D142" s="2"/>
      <c r="E142" s="1">
        <v>726325260</v>
      </c>
      <c r="F142">
        <v>1.5945945945945932E-2</v>
      </c>
      <c r="G142" s="37">
        <f t="shared" si="2"/>
        <v>2.2367567567567543</v>
      </c>
    </row>
    <row r="143" spans="2:7" x14ac:dyDescent="0.2">
      <c r="B143" t="s">
        <v>303</v>
      </c>
      <c r="C143" s="2">
        <v>0.83888888888888902</v>
      </c>
      <c r="D143" s="2"/>
      <c r="E143" s="1">
        <v>726428350</v>
      </c>
      <c r="F143">
        <v>1.5945945945945932E-2</v>
      </c>
      <c r="G143" s="37">
        <f t="shared" si="2"/>
        <v>2.2527027027027002</v>
      </c>
    </row>
    <row r="144" spans="2:7" x14ac:dyDescent="0.2">
      <c r="B144" t="s">
        <v>305</v>
      </c>
      <c r="C144" s="2">
        <v>0.83958333333333302</v>
      </c>
      <c r="D144" s="2"/>
      <c r="E144" s="1">
        <v>726158460</v>
      </c>
      <c r="F144">
        <v>1.5945945945945932E-2</v>
      </c>
      <c r="G144" s="37">
        <f t="shared" si="2"/>
        <v>2.2686486486486461</v>
      </c>
    </row>
    <row r="145" spans="2:7" x14ac:dyDescent="0.2">
      <c r="B145" t="s">
        <v>307</v>
      </c>
      <c r="C145" s="2">
        <v>0.84027777777777701</v>
      </c>
      <c r="D145" s="2"/>
      <c r="E145" s="1">
        <v>726441680</v>
      </c>
      <c r="F145">
        <v>1.5945945945945932E-2</v>
      </c>
      <c r="G145" s="37">
        <f t="shared" si="2"/>
        <v>2.284594594594592</v>
      </c>
    </row>
    <row r="146" spans="2:7" x14ac:dyDescent="0.2">
      <c r="B146" t="s">
        <v>309</v>
      </c>
      <c r="C146" s="2">
        <v>0.84097222222222201</v>
      </c>
      <c r="D146" s="2"/>
      <c r="E146" s="1">
        <v>726786170</v>
      </c>
      <c r="F146">
        <v>1.5945945945945932E-2</v>
      </c>
      <c r="G146" s="37">
        <f t="shared" si="2"/>
        <v>2.3005405405405379</v>
      </c>
    </row>
    <row r="147" spans="2:7" x14ac:dyDescent="0.2">
      <c r="B147" t="s">
        <v>311</v>
      </c>
      <c r="C147" s="2">
        <v>0.84166666666666601</v>
      </c>
      <c r="D147" s="2"/>
      <c r="E147" s="1">
        <v>726613940</v>
      </c>
      <c r="F147">
        <v>1.5945945945945932E-2</v>
      </c>
      <c r="G147" s="37">
        <f t="shared" si="2"/>
        <v>2.3164864864864838</v>
      </c>
    </row>
    <row r="148" spans="2:7" x14ac:dyDescent="0.2">
      <c r="B148" t="s">
        <v>313</v>
      </c>
      <c r="C148" s="2">
        <v>0.84236111111111101</v>
      </c>
      <c r="D148" s="2"/>
      <c r="E148" s="1">
        <v>726531730</v>
      </c>
      <c r="F148">
        <v>1.5945945945945932E-2</v>
      </c>
      <c r="G148" s="37">
        <f t="shared" si="2"/>
        <v>2.3324324324324297</v>
      </c>
    </row>
    <row r="149" spans="2:7" x14ac:dyDescent="0.2">
      <c r="B149" t="s">
        <v>315</v>
      </c>
      <c r="C149" s="2">
        <v>0.843055555555555</v>
      </c>
      <c r="D149" s="2"/>
      <c r="E149" s="1">
        <v>726742480</v>
      </c>
      <c r="F149">
        <v>1.5945945945945932E-2</v>
      </c>
      <c r="G149" s="37">
        <f t="shared" si="2"/>
        <v>2.3483783783783756</v>
      </c>
    </row>
    <row r="150" spans="2:7" x14ac:dyDescent="0.2">
      <c r="B150" t="s">
        <v>317</v>
      </c>
      <c r="C150" s="2">
        <v>0.843749999999999</v>
      </c>
      <c r="D150" s="2"/>
      <c r="E150" s="1">
        <v>726675050</v>
      </c>
      <c r="F150">
        <v>1.5945945945945932E-2</v>
      </c>
      <c r="G150" s="37">
        <f t="shared" si="2"/>
        <v>2.3643243243243215</v>
      </c>
    </row>
    <row r="151" spans="2:7" x14ac:dyDescent="0.2">
      <c r="B151" t="s">
        <v>319</v>
      </c>
      <c r="C151" s="2">
        <v>0.844444444444444</v>
      </c>
      <c r="D151" s="2"/>
      <c r="E151" s="1">
        <v>727011880</v>
      </c>
      <c r="F151">
        <v>1.5945945945945932E-2</v>
      </c>
      <c r="G151" s="37">
        <f t="shared" si="2"/>
        <v>2.3802702702702674</v>
      </c>
    </row>
    <row r="152" spans="2:7" x14ac:dyDescent="0.2">
      <c r="B152" t="s">
        <v>321</v>
      </c>
      <c r="C152" s="2">
        <v>0.845138888888888</v>
      </c>
      <c r="D152" s="2"/>
      <c r="E152" s="1">
        <v>726653080</v>
      </c>
      <c r="F152">
        <v>1.5945945945945932E-2</v>
      </c>
      <c r="G152" s="37">
        <f t="shared" si="2"/>
        <v>2.3962162162162133</v>
      </c>
    </row>
    <row r="153" spans="2:7" x14ac:dyDescent="0.2">
      <c r="B153" t="s">
        <v>323</v>
      </c>
      <c r="C153" s="2">
        <v>0.84583333333333299</v>
      </c>
      <c r="D153" s="2"/>
      <c r="E153" s="1">
        <v>726716210</v>
      </c>
      <c r="F153">
        <v>1.5945945945945932E-2</v>
      </c>
      <c r="G153" s="37">
        <f t="shared" si="2"/>
        <v>2.4121621621621592</v>
      </c>
    </row>
    <row r="154" spans="2:7" x14ac:dyDescent="0.2">
      <c r="B154" t="s">
        <v>325</v>
      </c>
      <c r="C154" s="2">
        <v>0.84652777777777699</v>
      </c>
      <c r="D154" s="2"/>
      <c r="E154" s="1">
        <v>726639160</v>
      </c>
      <c r="F154">
        <v>1.5945945945945932E-2</v>
      </c>
      <c r="G154" s="37">
        <f t="shared" si="2"/>
        <v>2.4281081081081051</v>
      </c>
    </row>
    <row r="155" spans="2:7" x14ac:dyDescent="0.2">
      <c r="B155" t="s">
        <v>327</v>
      </c>
      <c r="C155" s="2">
        <v>0.84722222222222199</v>
      </c>
      <c r="D155" s="2"/>
      <c r="E155" s="1">
        <v>726886670</v>
      </c>
      <c r="F155">
        <v>1.5945945945945932E-2</v>
      </c>
      <c r="G155" s="37">
        <f t="shared" si="2"/>
        <v>2.444054054054051</v>
      </c>
    </row>
    <row r="156" spans="2:7" x14ac:dyDescent="0.2">
      <c r="B156" t="s">
        <v>329</v>
      </c>
      <c r="C156" s="2">
        <v>0.84791666666666599</v>
      </c>
      <c r="D156" s="2"/>
      <c r="E156" s="1">
        <v>727034640</v>
      </c>
      <c r="F156">
        <v>1.5945945945945932E-2</v>
      </c>
      <c r="G156" s="37">
        <f t="shared" si="2"/>
        <v>2.4599999999999969</v>
      </c>
    </row>
    <row r="157" spans="2:7" s="30" customFormat="1" x14ac:dyDescent="0.2">
      <c r="B157" s="30" t="s">
        <v>331</v>
      </c>
      <c r="C157" s="31">
        <v>0.84861111111111098</v>
      </c>
      <c r="D157" s="31"/>
      <c r="E157" s="32">
        <v>726652470</v>
      </c>
      <c r="F157" s="30">
        <v>1.5517241379310313E-2</v>
      </c>
      <c r="G157" s="37">
        <f t="shared" si="2"/>
        <v>2.4755172413793072</v>
      </c>
    </row>
    <row r="158" spans="2:7" x14ac:dyDescent="0.2">
      <c r="B158" t="s">
        <v>333</v>
      </c>
      <c r="C158" s="2">
        <v>0.84930555555555498</v>
      </c>
      <c r="D158" s="2"/>
      <c r="E158" s="1">
        <v>726974560</v>
      </c>
      <c r="F158">
        <v>1.5517241379310313E-2</v>
      </c>
      <c r="G158" s="37">
        <f t="shared" si="2"/>
        <v>2.4910344827586175</v>
      </c>
    </row>
    <row r="159" spans="2:7" x14ac:dyDescent="0.2">
      <c r="B159" t="s">
        <v>335</v>
      </c>
      <c r="C159" s="2">
        <v>0.84999999999999898</v>
      </c>
      <c r="D159" s="2"/>
      <c r="E159" s="1">
        <v>727108510</v>
      </c>
      <c r="F159">
        <v>1.5517241379310313E-2</v>
      </c>
      <c r="G159" s="37">
        <f t="shared" si="2"/>
        <v>2.5065517241379278</v>
      </c>
    </row>
    <row r="160" spans="2:7" x14ac:dyDescent="0.2">
      <c r="B160" t="s">
        <v>337</v>
      </c>
      <c r="C160" s="2">
        <v>0.85069444444444398</v>
      </c>
      <c r="D160" s="2"/>
      <c r="E160" s="1">
        <v>726628240</v>
      </c>
      <c r="F160">
        <v>1.5517241379310313E-2</v>
      </c>
      <c r="G160" s="37">
        <f t="shared" si="2"/>
        <v>2.5220689655172381</v>
      </c>
    </row>
    <row r="161" spans="2:7" x14ac:dyDescent="0.2">
      <c r="B161" t="s">
        <v>339</v>
      </c>
      <c r="C161" s="2">
        <v>0.85138888888888797</v>
      </c>
      <c r="D161" s="2"/>
      <c r="E161" s="1">
        <v>726746140</v>
      </c>
      <c r="F161">
        <v>1.5517241379310313E-2</v>
      </c>
      <c r="G161" s="37">
        <f t="shared" si="2"/>
        <v>2.5375862068965485</v>
      </c>
    </row>
    <row r="162" spans="2:7" x14ac:dyDescent="0.2">
      <c r="B162" t="s">
        <v>341</v>
      </c>
      <c r="C162" s="2">
        <v>0.85208333333333297</v>
      </c>
      <c r="D162" s="2"/>
      <c r="E162" s="1">
        <v>726939660</v>
      </c>
      <c r="F162">
        <v>1.5517241379310313E-2</v>
      </c>
      <c r="G162" s="37">
        <f t="shared" si="2"/>
        <v>2.5531034482758588</v>
      </c>
    </row>
    <row r="163" spans="2:7" x14ac:dyDescent="0.2">
      <c r="B163" t="s">
        <v>343</v>
      </c>
      <c r="C163" s="2">
        <v>0.85277777777777697</v>
      </c>
      <c r="D163" s="2"/>
      <c r="E163" s="1">
        <v>727249370</v>
      </c>
      <c r="F163">
        <v>1.5517241379310313E-2</v>
      </c>
      <c r="G163" s="37">
        <f t="shared" si="2"/>
        <v>2.5686206896551691</v>
      </c>
    </row>
    <row r="164" spans="2:7" x14ac:dyDescent="0.2">
      <c r="B164" t="s">
        <v>345</v>
      </c>
      <c r="C164" s="2">
        <v>0.85347222222222197</v>
      </c>
      <c r="D164" s="2"/>
      <c r="E164" s="1">
        <v>726919520</v>
      </c>
      <c r="F164">
        <v>1.5517241379310313E-2</v>
      </c>
      <c r="G164" s="37">
        <f t="shared" si="2"/>
        <v>2.5841379310344794</v>
      </c>
    </row>
    <row r="165" spans="2:7" x14ac:dyDescent="0.2">
      <c r="B165" t="s">
        <v>347</v>
      </c>
      <c r="C165" s="2">
        <v>0.85416666666666596</v>
      </c>
      <c r="D165" s="2"/>
      <c r="E165" s="1">
        <v>726708100</v>
      </c>
      <c r="F165">
        <v>1.5517241379310313E-2</v>
      </c>
      <c r="G165" s="37">
        <f t="shared" si="2"/>
        <v>2.5996551724137897</v>
      </c>
    </row>
    <row r="166" spans="2:7" x14ac:dyDescent="0.2">
      <c r="B166" t="s">
        <v>349</v>
      </c>
      <c r="C166" s="2">
        <v>0.85486111111110996</v>
      </c>
      <c r="D166" s="2"/>
      <c r="E166" s="1">
        <v>727295710</v>
      </c>
      <c r="F166">
        <v>1.5517241379310313E-2</v>
      </c>
      <c r="G166" s="37">
        <f t="shared" si="2"/>
        <v>2.6151724137931001</v>
      </c>
    </row>
    <row r="167" spans="2:7" x14ac:dyDescent="0.2">
      <c r="B167" t="s">
        <v>351</v>
      </c>
      <c r="C167" s="2">
        <v>0.85555555555555496</v>
      </c>
      <c r="D167" s="2"/>
      <c r="E167" s="1">
        <v>727288450</v>
      </c>
      <c r="F167">
        <v>1.5517241379310313E-2</v>
      </c>
      <c r="G167" s="37">
        <f t="shared" si="2"/>
        <v>2.6306896551724104</v>
      </c>
    </row>
    <row r="168" spans="2:7" x14ac:dyDescent="0.2">
      <c r="B168" t="s">
        <v>353</v>
      </c>
      <c r="C168" s="2">
        <v>0.85624999999999896</v>
      </c>
      <c r="D168" s="2"/>
      <c r="E168" s="1">
        <v>727195950</v>
      </c>
      <c r="F168">
        <v>1.5517241379310313E-2</v>
      </c>
      <c r="G168" s="37">
        <f t="shared" si="2"/>
        <v>2.6462068965517207</v>
      </c>
    </row>
    <row r="169" spans="2:7" x14ac:dyDescent="0.2">
      <c r="B169" t="s">
        <v>355</v>
      </c>
      <c r="C169" s="2">
        <v>0.85694444444444395</v>
      </c>
      <c r="D169" s="2"/>
      <c r="E169" s="1">
        <v>727122730</v>
      </c>
      <c r="F169">
        <v>1.5517241379310313E-2</v>
      </c>
      <c r="G169" s="37">
        <f t="shared" si="2"/>
        <v>2.661724137931031</v>
      </c>
    </row>
    <row r="170" spans="2:7" x14ac:dyDescent="0.2">
      <c r="B170" t="s">
        <v>357</v>
      </c>
      <c r="C170" s="2">
        <v>0.85763888888888795</v>
      </c>
      <c r="D170" s="2"/>
      <c r="E170" s="1">
        <v>727062770</v>
      </c>
      <c r="F170">
        <v>1.5517241379310313E-2</v>
      </c>
      <c r="G170" s="37">
        <f t="shared" si="2"/>
        <v>2.6772413793103413</v>
      </c>
    </row>
    <row r="171" spans="2:7" x14ac:dyDescent="0.2">
      <c r="B171" t="s">
        <v>359</v>
      </c>
      <c r="C171" s="2">
        <v>0.85833333333333295</v>
      </c>
      <c r="D171" s="2"/>
      <c r="E171" s="1">
        <v>727027710</v>
      </c>
      <c r="F171">
        <v>1.5517241379310313E-2</v>
      </c>
      <c r="G171" s="37">
        <f t="shared" si="2"/>
        <v>2.6927586206896517</v>
      </c>
    </row>
    <row r="172" spans="2:7" x14ac:dyDescent="0.2">
      <c r="B172" t="s">
        <v>361</v>
      </c>
      <c r="C172" s="2">
        <v>0.85902777777777695</v>
      </c>
      <c r="D172" s="2"/>
      <c r="E172" s="1">
        <v>727105060</v>
      </c>
      <c r="F172">
        <v>1.5517241379310313E-2</v>
      </c>
      <c r="G172" s="37">
        <f t="shared" si="2"/>
        <v>2.708275862068962</v>
      </c>
    </row>
    <row r="173" spans="2:7" x14ac:dyDescent="0.2">
      <c r="B173" t="s">
        <v>363</v>
      </c>
      <c r="C173" s="2">
        <v>0.85972222222222205</v>
      </c>
      <c r="D173" s="2"/>
      <c r="E173" s="1">
        <v>727169480</v>
      </c>
      <c r="F173">
        <v>1.5517241379310313E-2</v>
      </c>
      <c r="G173" s="37">
        <f t="shared" si="2"/>
        <v>2.7237931034482723</v>
      </c>
    </row>
    <row r="174" spans="2:7" x14ac:dyDescent="0.2">
      <c r="B174" t="s">
        <v>365</v>
      </c>
      <c r="C174" s="2">
        <v>0.86041666666666605</v>
      </c>
      <c r="D174" s="2"/>
      <c r="E174" s="1">
        <v>727081120</v>
      </c>
      <c r="F174">
        <v>1.5517241379310313E-2</v>
      </c>
      <c r="G174" s="37">
        <f t="shared" si="2"/>
        <v>2.7393103448275826</v>
      </c>
    </row>
    <row r="175" spans="2:7" x14ac:dyDescent="0.2">
      <c r="B175" t="s">
        <v>367</v>
      </c>
      <c r="C175" s="2">
        <v>0.86111111111111005</v>
      </c>
      <c r="D175" s="2"/>
      <c r="E175" s="1">
        <v>727098160</v>
      </c>
      <c r="F175">
        <v>1.5517241379310313E-2</v>
      </c>
      <c r="G175" s="37">
        <f t="shared" si="2"/>
        <v>2.7548275862068929</v>
      </c>
    </row>
    <row r="176" spans="2:7" x14ac:dyDescent="0.2">
      <c r="B176" t="s">
        <v>369</v>
      </c>
      <c r="C176" s="2">
        <v>0.86180555555555505</v>
      </c>
      <c r="D176" s="2"/>
      <c r="E176" s="1">
        <v>727115870</v>
      </c>
      <c r="F176">
        <v>1.5517241379310313E-2</v>
      </c>
      <c r="G176" s="37">
        <f t="shared" si="2"/>
        <v>2.7703448275862033</v>
      </c>
    </row>
    <row r="177" spans="2:7" x14ac:dyDescent="0.2">
      <c r="B177" t="s">
        <v>371</v>
      </c>
      <c r="C177" s="2">
        <v>0.86249999999999905</v>
      </c>
      <c r="D177" s="2"/>
      <c r="E177" s="1">
        <v>726873530</v>
      </c>
      <c r="F177">
        <v>1.5517241379310313E-2</v>
      </c>
      <c r="G177" s="37">
        <f t="shared" si="2"/>
        <v>2.7858620689655136</v>
      </c>
    </row>
    <row r="178" spans="2:7" x14ac:dyDescent="0.2">
      <c r="B178" t="s">
        <v>373</v>
      </c>
      <c r="C178" s="2">
        <v>0.86319444444444404</v>
      </c>
      <c r="D178" s="2"/>
      <c r="E178" s="1">
        <v>727155240</v>
      </c>
      <c r="F178">
        <v>1.5517241379310313E-2</v>
      </c>
      <c r="G178" s="37">
        <f t="shared" si="2"/>
        <v>2.8013793103448239</v>
      </c>
    </row>
    <row r="179" spans="2:7" x14ac:dyDescent="0.2">
      <c r="B179" t="s">
        <v>375</v>
      </c>
      <c r="C179" s="2">
        <v>0.86388888888888804</v>
      </c>
      <c r="D179" s="2"/>
      <c r="E179" s="1">
        <v>727062810</v>
      </c>
      <c r="F179">
        <v>1.5517241379310313E-2</v>
      </c>
      <c r="G179" s="37">
        <f t="shared" si="2"/>
        <v>2.8168965517241342</v>
      </c>
    </row>
    <row r="180" spans="2:7" x14ac:dyDescent="0.2">
      <c r="B180" t="s">
        <v>377</v>
      </c>
      <c r="C180" s="2">
        <v>0.86458333333333304</v>
      </c>
      <c r="D180" s="2"/>
      <c r="E180" s="1">
        <v>727376310</v>
      </c>
      <c r="F180">
        <v>1.5517241379310313E-2</v>
      </c>
      <c r="G180" s="37">
        <f t="shared" si="2"/>
        <v>2.8324137931034445</v>
      </c>
    </row>
    <row r="181" spans="2:7" x14ac:dyDescent="0.2">
      <c r="B181" t="s">
        <v>379</v>
      </c>
      <c r="C181" s="2">
        <v>0.86527777777777704</v>
      </c>
      <c r="D181" s="2"/>
      <c r="E181" s="1">
        <v>727186130</v>
      </c>
      <c r="F181">
        <v>1.5517241379310313E-2</v>
      </c>
      <c r="G181" s="37">
        <f t="shared" si="2"/>
        <v>2.8479310344827549</v>
      </c>
    </row>
    <row r="182" spans="2:7" x14ac:dyDescent="0.2">
      <c r="B182" t="s">
        <v>381</v>
      </c>
      <c r="C182" s="2">
        <v>0.86597222222222203</v>
      </c>
      <c r="D182" s="2"/>
      <c r="E182" s="1">
        <v>727321100</v>
      </c>
      <c r="F182">
        <v>1.5517241379310313E-2</v>
      </c>
      <c r="G182" s="37">
        <f t="shared" si="2"/>
        <v>2.8634482758620652</v>
      </c>
    </row>
    <row r="183" spans="2:7" x14ac:dyDescent="0.2">
      <c r="B183" t="s">
        <v>383</v>
      </c>
      <c r="C183" s="2">
        <v>0.86666666666666603</v>
      </c>
      <c r="D183" s="2"/>
      <c r="E183" s="1">
        <v>727168760</v>
      </c>
      <c r="F183">
        <v>1.5517241379310313E-2</v>
      </c>
      <c r="G183" s="37">
        <f t="shared" si="2"/>
        <v>2.8789655172413755</v>
      </c>
    </row>
    <row r="184" spans="2:7" x14ac:dyDescent="0.2">
      <c r="B184" t="s">
        <v>385</v>
      </c>
      <c r="C184" s="2">
        <v>0.86736111111111003</v>
      </c>
      <c r="D184" s="2"/>
      <c r="E184" s="1">
        <v>727207260</v>
      </c>
      <c r="F184">
        <v>1.5517241379310313E-2</v>
      </c>
      <c r="G184" s="37">
        <f t="shared" si="2"/>
        <v>2.8944827586206858</v>
      </c>
    </row>
    <row r="185" spans="2:7" x14ac:dyDescent="0.2">
      <c r="B185" t="s">
        <v>387</v>
      </c>
      <c r="C185" s="2">
        <v>0.86805555555555503</v>
      </c>
      <c r="D185" s="2"/>
      <c r="E185" s="1">
        <v>727123830</v>
      </c>
      <c r="F185">
        <v>1.5517241379310313E-2</v>
      </c>
      <c r="G185" s="37">
        <f t="shared" si="2"/>
        <v>2.9099999999999961</v>
      </c>
    </row>
    <row r="186" spans="2:7" s="30" customFormat="1" x14ac:dyDescent="0.2">
      <c r="B186" s="30" t="s">
        <v>389</v>
      </c>
      <c r="C186" s="31">
        <v>0.86874999999999902</v>
      </c>
      <c r="D186" s="31"/>
      <c r="E186" s="32">
        <v>727359000</v>
      </c>
      <c r="F186" s="30">
        <v>1.4999999999999999E-2</v>
      </c>
      <c r="G186" s="37">
        <f t="shared" si="2"/>
        <v>2.9249999999999963</v>
      </c>
    </row>
    <row r="187" spans="2:7" x14ac:dyDescent="0.2">
      <c r="B187" t="s">
        <v>391</v>
      </c>
      <c r="C187" s="2">
        <v>0.86944444444444402</v>
      </c>
      <c r="D187" s="2"/>
      <c r="E187" s="1">
        <v>727156600</v>
      </c>
      <c r="F187">
        <v>1.4999999999999999E-2</v>
      </c>
      <c r="G187" s="37">
        <f t="shared" si="2"/>
        <v>2.9399999999999964</v>
      </c>
    </row>
    <row r="188" spans="2:7" x14ac:dyDescent="0.2">
      <c r="B188" t="s">
        <v>393</v>
      </c>
      <c r="C188" s="2">
        <v>0.87013888888888802</v>
      </c>
      <c r="D188" s="2"/>
      <c r="E188" s="1">
        <v>727111310</v>
      </c>
      <c r="F188">
        <v>1.4999999999999999E-2</v>
      </c>
      <c r="G188" s="37">
        <f t="shared" si="2"/>
        <v>2.9549999999999965</v>
      </c>
    </row>
    <row r="189" spans="2:7" x14ac:dyDescent="0.2">
      <c r="B189" t="s">
        <v>395</v>
      </c>
      <c r="C189" s="2">
        <v>0.87083333333333302</v>
      </c>
      <c r="D189" s="2"/>
      <c r="E189" s="1">
        <v>727572400</v>
      </c>
      <c r="F189">
        <v>1.4999999999999999E-2</v>
      </c>
      <c r="G189" s="37">
        <f t="shared" si="2"/>
        <v>2.9699999999999966</v>
      </c>
    </row>
    <row r="190" spans="2:7" x14ac:dyDescent="0.2">
      <c r="B190" t="s">
        <v>397</v>
      </c>
      <c r="C190" s="2">
        <v>0.87152777777777701</v>
      </c>
      <c r="D190" s="2"/>
      <c r="E190" s="1">
        <v>727489650</v>
      </c>
      <c r="F190">
        <v>1.4999999999999999E-2</v>
      </c>
      <c r="G190" s="37">
        <f t="shared" si="2"/>
        <v>2.9849999999999968</v>
      </c>
    </row>
    <row r="191" spans="2:7" x14ac:dyDescent="0.2">
      <c r="B191" t="s">
        <v>399</v>
      </c>
      <c r="C191" s="2">
        <v>0.87222222222222201</v>
      </c>
      <c r="D191" s="2"/>
      <c r="E191" s="1">
        <v>727319260</v>
      </c>
      <c r="F191">
        <v>1.4999999999999999E-2</v>
      </c>
      <c r="G191" s="37">
        <f t="shared" si="2"/>
        <v>2.9999999999999969</v>
      </c>
    </row>
    <row r="192" spans="2:7" x14ac:dyDescent="0.2">
      <c r="B192" t="s">
        <v>401</v>
      </c>
      <c r="C192" s="2">
        <v>0.87291666666666601</v>
      </c>
      <c r="D192" s="2"/>
      <c r="E192" s="1">
        <v>727608310</v>
      </c>
      <c r="F192">
        <v>1.4999999999999999E-2</v>
      </c>
      <c r="G192" s="37">
        <f t="shared" si="2"/>
        <v>3.014999999999997</v>
      </c>
    </row>
    <row r="193" spans="2:7" x14ac:dyDescent="0.2">
      <c r="B193" t="s">
        <v>403</v>
      </c>
      <c r="C193" s="2">
        <v>0.87361111111111001</v>
      </c>
      <c r="D193" s="2"/>
      <c r="E193" s="1">
        <v>727501270</v>
      </c>
      <c r="F193">
        <v>1.4999999999999999E-2</v>
      </c>
      <c r="G193" s="37">
        <f t="shared" si="2"/>
        <v>3.0299999999999971</v>
      </c>
    </row>
    <row r="194" spans="2:7" x14ac:dyDescent="0.2">
      <c r="B194" t="s">
        <v>405</v>
      </c>
      <c r="C194" s="2">
        <v>0.874305555555555</v>
      </c>
      <c r="D194" s="2"/>
      <c r="E194" s="1">
        <v>727458920</v>
      </c>
      <c r="F194">
        <v>1.4999999999999999E-2</v>
      </c>
      <c r="G194" s="37">
        <f t="shared" si="2"/>
        <v>3.0449999999999973</v>
      </c>
    </row>
    <row r="195" spans="2:7" x14ac:dyDescent="0.2">
      <c r="B195" t="s">
        <v>407</v>
      </c>
      <c r="C195" s="2">
        <v>0.874999999999999</v>
      </c>
      <c r="D195" s="2"/>
      <c r="E195" s="1">
        <v>727333540</v>
      </c>
      <c r="F195">
        <v>1.4999999999999999E-2</v>
      </c>
      <c r="G195" s="37">
        <f t="shared" si="2"/>
        <v>3.0599999999999974</v>
      </c>
    </row>
    <row r="196" spans="2:7" x14ac:dyDescent="0.2">
      <c r="B196" t="s">
        <v>409</v>
      </c>
      <c r="C196" s="2">
        <v>0.875694444444444</v>
      </c>
      <c r="D196" s="2"/>
      <c r="E196" s="1">
        <v>727266920</v>
      </c>
      <c r="F196">
        <v>1.4999999999999999E-2</v>
      </c>
      <c r="G196" s="37">
        <f t="shared" ref="G196:G259" si="3">G195+(F196)</f>
        <v>3.0749999999999975</v>
      </c>
    </row>
    <row r="197" spans="2:7" x14ac:dyDescent="0.2">
      <c r="B197" t="s">
        <v>411</v>
      </c>
      <c r="C197" s="2">
        <v>0.876388888888888</v>
      </c>
      <c r="D197" s="2"/>
      <c r="E197" s="1">
        <v>727467180</v>
      </c>
      <c r="F197">
        <v>1.4999999999999999E-2</v>
      </c>
      <c r="G197" s="37">
        <f t="shared" si="3"/>
        <v>3.0899999999999976</v>
      </c>
    </row>
    <row r="198" spans="2:7" x14ac:dyDescent="0.2">
      <c r="B198" t="s">
        <v>413</v>
      </c>
      <c r="C198" s="2">
        <v>0.87708333333333299</v>
      </c>
      <c r="D198" s="2"/>
      <c r="E198" s="1">
        <v>727249660</v>
      </c>
      <c r="F198">
        <v>1.4999999999999999E-2</v>
      </c>
      <c r="G198" s="37">
        <f t="shared" si="3"/>
        <v>3.1049999999999978</v>
      </c>
    </row>
    <row r="199" spans="2:7" x14ac:dyDescent="0.2">
      <c r="B199" t="s">
        <v>415</v>
      </c>
      <c r="C199" s="2">
        <v>0.87777777777777699</v>
      </c>
      <c r="D199" s="2"/>
      <c r="E199" s="1">
        <v>727585910</v>
      </c>
      <c r="F199">
        <v>1.4999999999999999E-2</v>
      </c>
      <c r="G199" s="37">
        <f t="shared" si="3"/>
        <v>3.1199999999999979</v>
      </c>
    </row>
    <row r="200" spans="2:7" x14ac:dyDescent="0.2">
      <c r="B200" t="s">
        <v>417</v>
      </c>
      <c r="C200" s="2">
        <v>0.87847222222222199</v>
      </c>
      <c r="D200" s="2"/>
      <c r="E200" s="1">
        <v>727593820</v>
      </c>
      <c r="F200">
        <v>1.4999999999999999E-2</v>
      </c>
      <c r="G200" s="37">
        <f t="shared" si="3"/>
        <v>3.134999999999998</v>
      </c>
    </row>
    <row r="201" spans="2:7" x14ac:dyDescent="0.2">
      <c r="B201" t="s">
        <v>419</v>
      </c>
      <c r="C201" s="2">
        <v>0.87916666666666599</v>
      </c>
      <c r="D201" s="2"/>
      <c r="E201" s="1">
        <v>727601700</v>
      </c>
      <c r="F201">
        <v>1.4999999999999999E-2</v>
      </c>
      <c r="G201" s="37">
        <f t="shared" si="3"/>
        <v>3.1499999999999981</v>
      </c>
    </row>
    <row r="202" spans="2:7" x14ac:dyDescent="0.2">
      <c r="B202" t="s">
        <v>421</v>
      </c>
      <c r="C202" s="2">
        <v>0.87986111111110998</v>
      </c>
      <c r="D202" s="2"/>
      <c r="E202" s="1">
        <v>727510170</v>
      </c>
      <c r="F202">
        <v>1.4999999999999999E-2</v>
      </c>
      <c r="G202" s="37">
        <f t="shared" si="3"/>
        <v>3.1649999999999983</v>
      </c>
    </row>
    <row r="203" spans="2:7" x14ac:dyDescent="0.2">
      <c r="B203" t="s">
        <v>423</v>
      </c>
      <c r="C203" s="2">
        <v>0.88055555555555498</v>
      </c>
      <c r="D203" s="2"/>
      <c r="E203" s="1">
        <v>727594940</v>
      </c>
      <c r="F203">
        <v>1.4999999999999999E-2</v>
      </c>
      <c r="G203" s="37">
        <f t="shared" si="3"/>
        <v>3.1799999999999984</v>
      </c>
    </row>
    <row r="204" spans="2:7" x14ac:dyDescent="0.2">
      <c r="B204" t="s">
        <v>425</v>
      </c>
      <c r="C204" s="2">
        <v>0.88124999999999898</v>
      </c>
      <c r="D204" s="2"/>
      <c r="E204" s="1">
        <v>727172750</v>
      </c>
      <c r="F204">
        <v>1.4999999999999999E-2</v>
      </c>
      <c r="G204" s="37">
        <f t="shared" si="3"/>
        <v>3.1949999999999985</v>
      </c>
    </row>
    <row r="205" spans="2:7" x14ac:dyDescent="0.2">
      <c r="B205" t="s">
        <v>427</v>
      </c>
      <c r="C205" s="2">
        <v>0.88194444444444398</v>
      </c>
      <c r="D205" s="2"/>
      <c r="E205" s="1">
        <v>727560530</v>
      </c>
      <c r="F205">
        <v>1.4999999999999999E-2</v>
      </c>
      <c r="G205" s="37">
        <f t="shared" si="3"/>
        <v>3.2099999999999986</v>
      </c>
    </row>
    <row r="206" spans="2:7" x14ac:dyDescent="0.2">
      <c r="B206" t="s">
        <v>429</v>
      </c>
      <c r="C206" s="2">
        <v>0.88263888888888797</v>
      </c>
      <c r="D206" s="2"/>
      <c r="E206" s="1">
        <v>727484300</v>
      </c>
      <c r="F206">
        <v>1.4999999999999999E-2</v>
      </c>
      <c r="G206" s="37">
        <f t="shared" si="3"/>
        <v>3.2249999999999988</v>
      </c>
    </row>
    <row r="207" spans="2:7" x14ac:dyDescent="0.2">
      <c r="B207" t="s">
        <v>431</v>
      </c>
      <c r="C207" s="2">
        <v>0.88333333333333297</v>
      </c>
      <c r="D207" s="2"/>
      <c r="E207" s="1">
        <v>727489400</v>
      </c>
      <c r="F207">
        <v>1.4999999999999999E-2</v>
      </c>
      <c r="G207" s="37">
        <f t="shared" si="3"/>
        <v>3.2399999999999989</v>
      </c>
    </row>
    <row r="208" spans="2:7" x14ac:dyDescent="0.2">
      <c r="B208" t="s">
        <v>433</v>
      </c>
      <c r="C208" s="2">
        <v>0.88402777777777697</v>
      </c>
      <c r="D208" s="2"/>
      <c r="E208" s="1">
        <v>727341060</v>
      </c>
      <c r="F208">
        <v>1.4999999999999999E-2</v>
      </c>
      <c r="G208" s="37">
        <f t="shared" si="3"/>
        <v>3.254999999999999</v>
      </c>
    </row>
    <row r="209" spans="2:7" x14ac:dyDescent="0.2">
      <c r="B209" t="s">
        <v>435</v>
      </c>
      <c r="C209" s="2">
        <v>0.88472222222222097</v>
      </c>
      <c r="D209" s="2"/>
      <c r="E209" s="1">
        <v>727178530</v>
      </c>
      <c r="F209">
        <v>1.4999999999999999E-2</v>
      </c>
      <c r="G209" s="37">
        <f t="shared" si="3"/>
        <v>3.2699999999999991</v>
      </c>
    </row>
    <row r="210" spans="2:7" x14ac:dyDescent="0.2">
      <c r="B210" t="s">
        <v>437</v>
      </c>
      <c r="C210" s="2">
        <v>0.88541666666666596</v>
      </c>
      <c r="D210" s="2"/>
      <c r="E210" s="1">
        <v>727430880</v>
      </c>
      <c r="F210">
        <v>1.4999999999999999E-2</v>
      </c>
      <c r="G210" s="37">
        <f t="shared" si="3"/>
        <v>3.2849999999999993</v>
      </c>
    </row>
    <row r="211" spans="2:7" x14ac:dyDescent="0.2">
      <c r="B211" t="s">
        <v>439</v>
      </c>
      <c r="C211" s="2">
        <v>0.88611111111110996</v>
      </c>
      <c r="D211" s="2"/>
      <c r="E211" s="1">
        <v>727613320</v>
      </c>
      <c r="F211">
        <v>1.4999999999999999E-2</v>
      </c>
      <c r="G211" s="37">
        <f t="shared" si="3"/>
        <v>3.2999999999999994</v>
      </c>
    </row>
    <row r="212" spans="2:7" x14ac:dyDescent="0.2">
      <c r="B212" t="s">
        <v>441</v>
      </c>
      <c r="C212" s="2">
        <v>0.88680555555555496</v>
      </c>
      <c r="D212" s="2"/>
      <c r="E212" s="1">
        <v>727587000</v>
      </c>
      <c r="F212">
        <v>1.4999999999999999E-2</v>
      </c>
      <c r="G212" s="37">
        <f t="shared" si="3"/>
        <v>3.3149999999999995</v>
      </c>
    </row>
    <row r="213" spans="2:7" x14ac:dyDescent="0.2">
      <c r="B213" t="s">
        <v>443</v>
      </c>
      <c r="C213" s="2">
        <v>0.88749999999999896</v>
      </c>
      <c r="D213" s="2"/>
      <c r="E213" s="1">
        <v>727353060</v>
      </c>
      <c r="F213">
        <v>1.4999999999999999E-2</v>
      </c>
      <c r="G213" s="37">
        <f t="shared" si="3"/>
        <v>3.3299999999999996</v>
      </c>
    </row>
    <row r="214" spans="2:7" s="30" customFormat="1" x14ac:dyDescent="0.2">
      <c r="B214" s="30" t="s">
        <v>445</v>
      </c>
      <c r="C214" s="31">
        <v>0.88819444444444395</v>
      </c>
      <c r="D214" s="31"/>
      <c r="E214" s="32">
        <v>727497760</v>
      </c>
      <c r="F214" s="30">
        <v>1.4999999999999999E-2</v>
      </c>
      <c r="G214" s="37">
        <f t="shared" si="3"/>
        <v>3.3449999999999998</v>
      </c>
    </row>
    <row r="215" spans="2:7" x14ac:dyDescent="0.2">
      <c r="B215" t="s">
        <v>447</v>
      </c>
      <c r="C215" s="2">
        <v>0.88888888888888795</v>
      </c>
      <c r="D215" s="2"/>
      <c r="E215" s="1">
        <v>727719370</v>
      </c>
      <c r="F215">
        <v>1.4999999999999999E-2</v>
      </c>
      <c r="G215" s="37">
        <f t="shared" si="3"/>
        <v>3.36</v>
      </c>
    </row>
    <row r="216" spans="2:7" x14ac:dyDescent="0.2">
      <c r="B216" t="s">
        <v>449</v>
      </c>
      <c r="C216" s="2">
        <v>0.88958333333333295</v>
      </c>
      <c r="D216" s="2"/>
      <c r="E216" s="1">
        <v>727607700</v>
      </c>
      <c r="F216">
        <v>1.4999999999999999E-2</v>
      </c>
      <c r="G216" s="37">
        <f t="shared" si="3"/>
        <v>3.375</v>
      </c>
    </row>
    <row r="217" spans="2:7" x14ac:dyDescent="0.2">
      <c r="B217" t="s">
        <v>451</v>
      </c>
      <c r="C217" s="2">
        <v>0.89027777777777695</v>
      </c>
      <c r="D217" s="2"/>
      <c r="E217" s="1">
        <v>727901390</v>
      </c>
      <c r="F217">
        <v>1.4999999999999999E-2</v>
      </c>
      <c r="G217" s="37">
        <f t="shared" si="3"/>
        <v>3.39</v>
      </c>
    </row>
    <row r="218" spans="2:7" x14ac:dyDescent="0.2">
      <c r="B218" t="s">
        <v>453</v>
      </c>
      <c r="C218" s="2">
        <v>0.89097222222222106</v>
      </c>
      <c r="D218" s="2"/>
      <c r="E218" s="1">
        <v>727558490</v>
      </c>
      <c r="F218">
        <v>1.4999999999999999E-2</v>
      </c>
      <c r="G218" s="37">
        <f t="shared" si="3"/>
        <v>3.4050000000000002</v>
      </c>
    </row>
    <row r="219" spans="2:7" x14ac:dyDescent="0.2">
      <c r="B219" t="s">
        <v>455</v>
      </c>
      <c r="C219" s="2">
        <v>0.89166666666666605</v>
      </c>
      <c r="D219" s="2"/>
      <c r="E219" s="1">
        <v>727893800</v>
      </c>
      <c r="F219">
        <v>1.4999999999999999E-2</v>
      </c>
      <c r="G219" s="37">
        <f t="shared" si="3"/>
        <v>3.4200000000000004</v>
      </c>
    </row>
    <row r="220" spans="2:7" x14ac:dyDescent="0.2">
      <c r="B220" t="s">
        <v>457</v>
      </c>
      <c r="C220" s="2">
        <v>0.89236111111111005</v>
      </c>
      <c r="D220" s="2"/>
      <c r="E220" s="1">
        <v>727798890</v>
      </c>
      <c r="F220">
        <v>1.4999999999999999E-2</v>
      </c>
      <c r="G220" s="37">
        <f t="shared" si="3"/>
        <v>3.4350000000000005</v>
      </c>
    </row>
    <row r="221" spans="2:7" x14ac:dyDescent="0.2">
      <c r="B221" t="s">
        <v>459</v>
      </c>
      <c r="C221" s="2">
        <v>0.89305555555555505</v>
      </c>
      <c r="D221" s="2"/>
      <c r="E221" s="1">
        <v>727591170</v>
      </c>
      <c r="F221">
        <v>1.4999999999999999E-2</v>
      </c>
      <c r="G221" s="37">
        <f t="shared" si="3"/>
        <v>3.4500000000000006</v>
      </c>
    </row>
    <row r="222" spans="2:7" x14ac:dyDescent="0.2">
      <c r="B222" t="s">
        <v>461</v>
      </c>
      <c r="C222" s="2">
        <v>0.89374999999999905</v>
      </c>
      <c r="D222" s="2"/>
      <c r="E222" s="1">
        <v>727940610</v>
      </c>
      <c r="F222">
        <v>1.4999999999999999E-2</v>
      </c>
      <c r="G222" s="37">
        <f t="shared" si="3"/>
        <v>3.4650000000000007</v>
      </c>
    </row>
    <row r="223" spans="2:7" x14ac:dyDescent="0.2">
      <c r="B223" t="s">
        <v>463</v>
      </c>
      <c r="C223" s="2">
        <v>0.89444444444444404</v>
      </c>
      <c r="D223" s="2"/>
      <c r="E223" s="1">
        <v>727883180</v>
      </c>
      <c r="F223">
        <v>1.4999999999999999E-2</v>
      </c>
      <c r="G223" s="37">
        <f t="shared" si="3"/>
        <v>3.4800000000000009</v>
      </c>
    </row>
    <row r="224" spans="2:7" x14ac:dyDescent="0.2">
      <c r="B224" t="s">
        <v>465</v>
      </c>
      <c r="C224" s="2">
        <v>0.89513888888888804</v>
      </c>
      <c r="D224" s="2"/>
      <c r="E224" s="1">
        <v>727831980</v>
      </c>
      <c r="F224">
        <v>1.4999999999999999E-2</v>
      </c>
      <c r="G224" s="37">
        <f t="shared" si="3"/>
        <v>3.495000000000001</v>
      </c>
    </row>
    <row r="225" spans="2:7" x14ac:dyDescent="0.2">
      <c r="B225" t="s">
        <v>467</v>
      </c>
      <c r="C225" s="2">
        <v>0.89583333333333304</v>
      </c>
      <c r="D225" s="2"/>
      <c r="E225" s="1">
        <v>727654160</v>
      </c>
      <c r="F225">
        <v>1.4999999999999999E-2</v>
      </c>
      <c r="G225" s="37">
        <f t="shared" si="3"/>
        <v>3.5100000000000011</v>
      </c>
    </row>
    <row r="226" spans="2:7" x14ac:dyDescent="0.2">
      <c r="B226" t="s">
        <v>469</v>
      </c>
      <c r="C226" s="2">
        <v>0.89652777777777704</v>
      </c>
      <c r="D226" s="2"/>
      <c r="E226" s="1">
        <v>727910090</v>
      </c>
      <c r="F226">
        <v>1.4999999999999999E-2</v>
      </c>
      <c r="G226" s="37">
        <f t="shared" si="3"/>
        <v>3.5250000000000012</v>
      </c>
    </row>
    <row r="227" spans="2:7" x14ac:dyDescent="0.2">
      <c r="B227" t="s">
        <v>471</v>
      </c>
      <c r="C227" s="2">
        <v>0.89722222222222103</v>
      </c>
      <c r="D227" s="2"/>
      <c r="E227" s="1">
        <v>727889310</v>
      </c>
      <c r="F227">
        <v>1.4999999999999999E-2</v>
      </c>
      <c r="G227" s="37">
        <f t="shared" si="3"/>
        <v>3.5400000000000014</v>
      </c>
    </row>
    <row r="228" spans="2:7" x14ac:dyDescent="0.2">
      <c r="B228" t="s">
        <v>473</v>
      </c>
      <c r="C228" s="2">
        <v>0.89791666666666603</v>
      </c>
      <c r="D228" s="2"/>
      <c r="E228" s="1">
        <v>727849940</v>
      </c>
      <c r="F228">
        <v>1.4999999999999999E-2</v>
      </c>
      <c r="G228" s="37">
        <f t="shared" si="3"/>
        <v>3.5550000000000015</v>
      </c>
    </row>
    <row r="229" spans="2:7" x14ac:dyDescent="0.2">
      <c r="B229" t="s">
        <v>475</v>
      </c>
      <c r="C229" s="2">
        <v>0.89861111111111003</v>
      </c>
      <c r="D229" s="2"/>
      <c r="E229" s="1">
        <v>727626620</v>
      </c>
      <c r="F229">
        <v>1.4999999999999999E-2</v>
      </c>
      <c r="G229" s="37">
        <f t="shared" si="3"/>
        <v>3.5700000000000016</v>
      </c>
    </row>
    <row r="230" spans="2:7" x14ac:dyDescent="0.2">
      <c r="B230" t="s">
        <v>477</v>
      </c>
      <c r="C230" s="2">
        <v>0.89930555555555503</v>
      </c>
      <c r="D230" s="2"/>
      <c r="E230" s="1">
        <v>727841180</v>
      </c>
      <c r="F230">
        <v>1.4999999999999999E-2</v>
      </c>
      <c r="G230" s="37">
        <f t="shared" si="3"/>
        <v>3.5850000000000017</v>
      </c>
    </row>
    <row r="231" spans="2:7" x14ac:dyDescent="0.2">
      <c r="B231" t="s">
        <v>479</v>
      </c>
      <c r="C231" s="2">
        <v>0.89999999999999902</v>
      </c>
      <c r="D231" s="2"/>
      <c r="E231" s="1">
        <v>727790030</v>
      </c>
      <c r="F231">
        <v>1.4999999999999999E-2</v>
      </c>
      <c r="G231" s="37">
        <f t="shared" si="3"/>
        <v>3.6000000000000019</v>
      </c>
    </row>
    <row r="232" spans="2:7" x14ac:dyDescent="0.2">
      <c r="B232" t="s">
        <v>481</v>
      </c>
      <c r="C232" s="2">
        <v>0.90069444444444402</v>
      </c>
      <c r="D232" s="2"/>
      <c r="E232" s="1">
        <v>727883990</v>
      </c>
      <c r="F232">
        <v>1.4999999999999999E-2</v>
      </c>
      <c r="G232" s="37">
        <f t="shared" si="3"/>
        <v>3.615000000000002</v>
      </c>
    </row>
    <row r="233" spans="2:7" x14ac:dyDescent="0.2">
      <c r="B233" t="s">
        <v>483</v>
      </c>
      <c r="C233" s="2">
        <v>0.90138888888888802</v>
      </c>
      <c r="D233" s="2"/>
      <c r="E233" s="1">
        <v>727958890</v>
      </c>
      <c r="F233">
        <v>1.4999999999999999E-2</v>
      </c>
      <c r="G233" s="37">
        <f t="shared" si="3"/>
        <v>3.6300000000000021</v>
      </c>
    </row>
    <row r="234" spans="2:7" x14ac:dyDescent="0.2">
      <c r="B234" t="s">
        <v>485</v>
      </c>
      <c r="C234" s="2">
        <v>0.90208333333333302</v>
      </c>
      <c r="D234" s="2"/>
      <c r="E234" s="1">
        <v>728073210</v>
      </c>
      <c r="F234">
        <v>1.4999999999999999E-2</v>
      </c>
      <c r="G234" s="37">
        <f t="shared" si="3"/>
        <v>3.6450000000000022</v>
      </c>
    </row>
    <row r="235" spans="2:7" x14ac:dyDescent="0.2">
      <c r="B235" t="s">
        <v>487</v>
      </c>
      <c r="C235" s="2">
        <v>0.90277777777777701</v>
      </c>
      <c r="D235" s="2"/>
      <c r="E235" s="1">
        <v>727355310</v>
      </c>
      <c r="F235">
        <v>1.4999999999999999E-2</v>
      </c>
      <c r="G235" s="37">
        <f t="shared" si="3"/>
        <v>3.6600000000000024</v>
      </c>
    </row>
    <row r="236" spans="2:7" x14ac:dyDescent="0.2">
      <c r="B236" t="s">
        <v>489</v>
      </c>
      <c r="C236" s="2">
        <v>0.90347222222222101</v>
      </c>
      <c r="D236" s="2"/>
      <c r="E236" s="1">
        <v>727870120</v>
      </c>
      <c r="F236">
        <v>1.4999999999999999E-2</v>
      </c>
      <c r="G236" s="37">
        <f t="shared" si="3"/>
        <v>3.6750000000000025</v>
      </c>
    </row>
    <row r="237" spans="2:7" x14ac:dyDescent="0.2">
      <c r="B237" t="s">
        <v>491</v>
      </c>
      <c r="C237" s="2">
        <v>0.90416666666666601</v>
      </c>
      <c r="D237" s="2"/>
      <c r="E237" s="1">
        <v>727883060</v>
      </c>
      <c r="F237">
        <v>1.4999999999999999E-2</v>
      </c>
      <c r="G237" s="37">
        <f t="shared" si="3"/>
        <v>3.6900000000000026</v>
      </c>
    </row>
    <row r="238" spans="2:7" x14ac:dyDescent="0.2">
      <c r="B238" t="s">
        <v>493</v>
      </c>
      <c r="C238" s="2">
        <v>0.90486111111111001</v>
      </c>
      <c r="D238" s="2"/>
      <c r="E238" s="1">
        <v>728066100</v>
      </c>
      <c r="F238">
        <v>1.4999999999999999E-2</v>
      </c>
      <c r="G238" s="37">
        <f t="shared" si="3"/>
        <v>3.7050000000000027</v>
      </c>
    </row>
    <row r="239" spans="2:7" x14ac:dyDescent="0.2">
      <c r="B239" t="s">
        <v>495</v>
      </c>
      <c r="C239" s="2">
        <v>0.905555555555555</v>
      </c>
      <c r="D239" s="2"/>
      <c r="E239" s="1">
        <v>728012050</v>
      </c>
      <c r="F239">
        <v>1.4999999999999999E-2</v>
      </c>
      <c r="G239" s="37">
        <f t="shared" si="3"/>
        <v>3.7200000000000029</v>
      </c>
    </row>
    <row r="240" spans="2:7" x14ac:dyDescent="0.2">
      <c r="B240" t="s">
        <v>497</v>
      </c>
      <c r="C240" s="2">
        <v>0.906249999999999</v>
      </c>
      <c r="D240" s="2"/>
      <c r="E240" s="1">
        <v>728082870</v>
      </c>
      <c r="F240">
        <v>1.4999999999999999E-2</v>
      </c>
      <c r="G240" s="37">
        <f t="shared" si="3"/>
        <v>3.735000000000003</v>
      </c>
    </row>
    <row r="241" spans="2:7" x14ac:dyDescent="0.2">
      <c r="B241" t="s">
        <v>499</v>
      </c>
      <c r="C241" s="2">
        <v>0.906944444444444</v>
      </c>
      <c r="D241" s="2"/>
      <c r="E241" s="1">
        <v>727898880</v>
      </c>
      <c r="F241">
        <v>1.4999999999999999E-2</v>
      </c>
      <c r="G241" s="37">
        <f t="shared" si="3"/>
        <v>3.7500000000000031</v>
      </c>
    </row>
    <row r="242" spans="2:7" x14ac:dyDescent="0.2">
      <c r="B242" t="s">
        <v>501</v>
      </c>
      <c r="C242" s="2">
        <v>0.907638888888888</v>
      </c>
      <c r="D242" s="2"/>
      <c r="E242" s="1">
        <v>728119370</v>
      </c>
      <c r="F242">
        <v>1.4999999999999999E-2</v>
      </c>
      <c r="G242" s="37">
        <f t="shared" si="3"/>
        <v>3.7650000000000032</v>
      </c>
    </row>
    <row r="243" spans="2:7" x14ac:dyDescent="0.2">
      <c r="B243" t="s">
        <v>503</v>
      </c>
      <c r="C243" s="2">
        <v>0.90833333333333299</v>
      </c>
      <c r="D243" s="2"/>
      <c r="E243" s="1">
        <v>727627470</v>
      </c>
      <c r="F243">
        <v>1.4999999999999999E-2</v>
      </c>
      <c r="G243" s="37">
        <f t="shared" si="3"/>
        <v>3.7800000000000034</v>
      </c>
    </row>
    <row r="244" spans="2:7" s="30" customFormat="1" x14ac:dyDescent="0.2">
      <c r="B244" s="30" t="s">
        <v>505</v>
      </c>
      <c r="C244" s="31">
        <v>0.90902777777777699</v>
      </c>
      <c r="D244" s="31"/>
      <c r="E244" s="32">
        <v>728035180</v>
      </c>
      <c r="F244" s="30">
        <v>1.4090909090909032E-2</v>
      </c>
      <c r="G244" s="37">
        <f t="shared" si="3"/>
        <v>3.7940909090909125</v>
      </c>
    </row>
    <row r="245" spans="2:7" x14ac:dyDescent="0.2">
      <c r="B245" t="s">
        <v>507</v>
      </c>
      <c r="C245" s="2">
        <v>0.90972222222222099</v>
      </c>
      <c r="D245" s="2"/>
      <c r="E245" s="1">
        <v>727893030</v>
      </c>
      <c r="F245">
        <v>1.4090909090909032E-2</v>
      </c>
      <c r="G245" s="37">
        <f t="shared" si="3"/>
        <v>3.8081818181818217</v>
      </c>
    </row>
    <row r="246" spans="2:7" x14ac:dyDescent="0.2">
      <c r="B246" t="s">
        <v>509</v>
      </c>
      <c r="C246" s="2">
        <v>0.91041666666666599</v>
      </c>
      <c r="D246" s="2"/>
      <c r="E246" s="1">
        <v>728085120</v>
      </c>
      <c r="F246">
        <v>1.4090909090909032E-2</v>
      </c>
      <c r="G246" s="37">
        <f t="shared" si="3"/>
        <v>3.8222727272727308</v>
      </c>
    </row>
    <row r="247" spans="2:7" x14ac:dyDescent="0.2">
      <c r="B247" t="s">
        <v>511</v>
      </c>
      <c r="C247" s="2">
        <v>0.91111111111110998</v>
      </c>
      <c r="D247" s="2"/>
      <c r="E247" s="1">
        <v>728320270</v>
      </c>
      <c r="F247">
        <v>1.4090909090909032E-2</v>
      </c>
      <c r="G247" s="37">
        <f t="shared" si="3"/>
        <v>3.83636363636364</v>
      </c>
    </row>
    <row r="248" spans="2:7" x14ac:dyDescent="0.2">
      <c r="B248" t="s">
        <v>513</v>
      </c>
      <c r="C248" s="2">
        <v>0.91180555555555498</v>
      </c>
      <c r="D248" s="2"/>
      <c r="E248" s="1">
        <v>727998460</v>
      </c>
      <c r="F248">
        <v>1.4090909090909032E-2</v>
      </c>
      <c r="G248" s="37">
        <f t="shared" si="3"/>
        <v>3.8504545454545491</v>
      </c>
    </row>
    <row r="249" spans="2:7" x14ac:dyDescent="0.2">
      <c r="B249" t="s">
        <v>515</v>
      </c>
      <c r="C249" s="2">
        <v>0.91249999999999898</v>
      </c>
      <c r="D249" s="2"/>
      <c r="E249" s="1">
        <v>728231230</v>
      </c>
      <c r="F249">
        <v>1.4090909090909032E-2</v>
      </c>
      <c r="G249" s="37">
        <f t="shared" si="3"/>
        <v>3.8645454545454583</v>
      </c>
    </row>
    <row r="250" spans="2:7" x14ac:dyDescent="0.2">
      <c r="B250" t="s">
        <v>517</v>
      </c>
      <c r="C250" s="2">
        <v>0.91319444444444398</v>
      </c>
      <c r="D250" s="2"/>
      <c r="E250" s="1">
        <v>728194750</v>
      </c>
      <c r="F250">
        <v>1.4090909090909032E-2</v>
      </c>
      <c r="G250" s="37">
        <f t="shared" si="3"/>
        <v>3.8786363636363674</v>
      </c>
    </row>
    <row r="251" spans="2:7" x14ac:dyDescent="0.2">
      <c r="B251" t="s">
        <v>519</v>
      </c>
      <c r="C251" s="2">
        <v>0.91388888888888797</v>
      </c>
      <c r="D251" s="2"/>
      <c r="E251" s="1">
        <v>728265570</v>
      </c>
      <c r="F251">
        <v>1.4090909090909032E-2</v>
      </c>
      <c r="G251" s="37">
        <f t="shared" si="3"/>
        <v>3.8927272727272766</v>
      </c>
    </row>
    <row r="252" spans="2:7" x14ac:dyDescent="0.2">
      <c r="B252" t="s">
        <v>521</v>
      </c>
      <c r="C252" s="2">
        <v>0.91458333333333197</v>
      </c>
      <c r="D252" s="2"/>
      <c r="E252" s="1">
        <v>728315960</v>
      </c>
      <c r="F252">
        <v>1.4090909090909032E-2</v>
      </c>
      <c r="G252" s="37">
        <f t="shared" si="3"/>
        <v>3.9068181818181857</v>
      </c>
    </row>
    <row r="253" spans="2:7" x14ac:dyDescent="0.2">
      <c r="B253" t="s">
        <v>523</v>
      </c>
      <c r="C253" s="2">
        <v>0.91527777777777697</v>
      </c>
      <c r="D253" s="2"/>
      <c r="E253" s="1">
        <v>727914890</v>
      </c>
      <c r="F253">
        <v>1.4090909090909032E-2</v>
      </c>
      <c r="G253" s="37">
        <f t="shared" si="3"/>
        <v>3.9209090909090949</v>
      </c>
    </row>
    <row r="254" spans="2:7" x14ac:dyDescent="0.2">
      <c r="B254" t="s">
        <v>525</v>
      </c>
      <c r="C254" s="2">
        <v>0.91597222222222097</v>
      </c>
      <c r="D254" s="2"/>
      <c r="E254" s="1">
        <v>728069200</v>
      </c>
      <c r="F254">
        <v>1.4090909090909032E-2</v>
      </c>
      <c r="G254" s="37">
        <f t="shared" si="3"/>
        <v>3.9350000000000041</v>
      </c>
    </row>
    <row r="255" spans="2:7" x14ac:dyDescent="0.2">
      <c r="B255" t="s">
        <v>527</v>
      </c>
      <c r="C255" s="2">
        <v>0.91666666666666596</v>
      </c>
      <c r="D255" s="2"/>
      <c r="E255" s="1">
        <v>727978830</v>
      </c>
      <c r="F255">
        <v>1.4090909090909032E-2</v>
      </c>
      <c r="G255" s="37">
        <f t="shared" si="3"/>
        <v>3.9490909090909132</v>
      </c>
    </row>
    <row r="256" spans="2:7" x14ac:dyDescent="0.2">
      <c r="B256" t="s">
        <v>529</v>
      </c>
      <c r="C256" s="2">
        <v>0.91736111111110996</v>
      </c>
      <c r="D256" s="2"/>
      <c r="E256" s="1">
        <v>728165890</v>
      </c>
      <c r="F256">
        <v>1.4090909090909032E-2</v>
      </c>
      <c r="G256" s="37">
        <f t="shared" si="3"/>
        <v>3.9631818181818224</v>
      </c>
    </row>
    <row r="257" spans="2:7" x14ac:dyDescent="0.2">
      <c r="B257" t="s">
        <v>531</v>
      </c>
      <c r="C257" s="2">
        <v>0.91805555555555496</v>
      </c>
      <c r="D257" s="2"/>
      <c r="E257" s="1">
        <v>727995430</v>
      </c>
      <c r="F257">
        <v>1.4090909090909032E-2</v>
      </c>
      <c r="G257" s="37">
        <f t="shared" si="3"/>
        <v>3.9772727272727315</v>
      </c>
    </row>
    <row r="258" spans="2:7" x14ac:dyDescent="0.2">
      <c r="B258" t="s">
        <v>533</v>
      </c>
      <c r="C258" s="2">
        <v>0.91874999999999896</v>
      </c>
      <c r="D258" s="2"/>
      <c r="E258" s="1">
        <v>728176740</v>
      </c>
      <c r="F258">
        <v>1.4090909090909032E-2</v>
      </c>
      <c r="G258" s="37">
        <f t="shared" si="3"/>
        <v>3.9913636363636407</v>
      </c>
    </row>
    <row r="259" spans="2:7" x14ac:dyDescent="0.2">
      <c r="B259" t="s">
        <v>535</v>
      </c>
      <c r="C259" s="2">
        <v>0.91944444444444395</v>
      </c>
      <c r="D259" s="2"/>
      <c r="E259" s="1">
        <v>728301070</v>
      </c>
      <c r="F259">
        <v>1.4090909090909032E-2</v>
      </c>
      <c r="G259" s="37">
        <f t="shared" si="3"/>
        <v>4.0054545454545494</v>
      </c>
    </row>
    <row r="260" spans="2:7" x14ac:dyDescent="0.2">
      <c r="B260" t="s">
        <v>537</v>
      </c>
      <c r="C260" s="2">
        <v>0.92013888888888795</v>
      </c>
      <c r="D260" s="2"/>
      <c r="E260" s="1">
        <v>728004800</v>
      </c>
      <c r="F260">
        <v>1.4090909090909032E-2</v>
      </c>
      <c r="G260" s="37">
        <f t="shared" ref="G260:G313" si="4">G259+(F260)</f>
        <v>4.0195454545454581</v>
      </c>
    </row>
    <row r="261" spans="2:7" x14ac:dyDescent="0.2">
      <c r="B261" t="s">
        <v>539</v>
      </c>
      <c r="C261" s="2">
        <v>0.92083333333333195</v>
      </c>
      <c r="D261" s="2"/>
      <c r="E261" s="1">
        <v>727898190</v>
      </c>
      <c r="F261">
        <v>1.4090909090909032E-2</v>
      </c>
      <c r="G261" s="37">
        <f t="shared" si="4"/>
        <v>4.0336363636363668</v>
      </c>
    </row>
    <row r="262" spans="2:7" x14ac:dyDescent="0.2">
      <c r="B262" t="s">
        <v>541</v>
      </c>
      <c r="C262" s="2">
        <v>0.92152777777777695</v>
      </c>
      <c r="D262" s="2"/>
      <c r="E262" s="1">
        <v>728659370</v>
      </c>
      <c r="F262">
        <v>1.4090909090909032E-2</v>
      </c>
      <c r="G262" s="37">
        <f t="shared" si="4"/>
        <v>4.0477272727272755</v>
      </c>
    </row>
    <row r="263" spans="2:7" x14ac:dyDescent="0.2">
      <c r="B263" t="s">
        <v>543</v>
      </c>
      <c r="C263" s="2">
        <v>0.92222222222222106</v>
      </c>
      <c r="D263" s="2"/>
      <c r="E263" s="1">
        <v>728170580</v>
      </c>
      <c r="F263">
        <v>1.4090909090909032E-2</v>
      </c>
      <c r="G263" s="37">
        <f t="shared" si="4"/>
        <v>4.0618181818181842</v>
      </c>
    </row>
    <row r="264" spans="2:7" x14ac:dyDescent="0.2">
      <c r="B264" t="s">
        <v>545</v>
      </c>
      <c r="C264" s="2">
        <v>0.92291666666666605</v>
      </c>
      <c r="D264" s="2"/>
      <c r="E264" s="1">
        <v>728459050</v>
      </c>
      <c r="F264">
        <v>1.4090909090909032E-2</v>
      </c>
      <c r="G264" s="37">
        <f t="shared" si="4"/>
        <v>4.0759090909090929</v>
      </c>
    </row>
    <row r="265" spans="2:7" x14ac:dyDescent="0.2">
      <c r="B265" t="s">
        <v>547</v>
      </c>
      <c r="C265" s="2">
        <v>0.92361111111111005</v>
      </c>
      <c r="D265" s="2"/>
      <c r="E265" s="1">
        <v>728192720</v>
      </c>
      <c r="F265">
        <v>1.4090909090909032E-2</v>
      </c>
      <c r="G265" s="37">
        <f t="shared" si="4"/>
        <v>4.0900000000000016</v>
      </c>
    </row>
    <row r="266" spans="2:7" s="30" customFormat="1" x14ac:dyDescent="0.2">
      <c r="B266" s="30" t="s">
        <v>549</v>
      </c>
      <c r="C266" s="31">
        <v>0.92430555555555505</v>
      </c>
      <c r="D266" s="31"/>
      <c r="E266" s="32">
        <v>728065820</v>
      </c>
      <c r="F266" s="30">
        <v>1.35E-2</v>
      </c>
      <c r="G266" s="37">
        <f t="shared" si="4"/>
        <v>4.1035000000000013</v>
      </c>
    </row>
    <row r="267" spans="2:7" x14ac:dyDescent="0.2">
      <c r="B267" t="s">
        <v>551</v>
      </c>
      <c r="C267" s="2">
        <v>0.92499999999999905</v>
      </c>
      <c r="D267" s="2"/>
      <c r="E267" s="1">
        <v>728172000</v>
      </c>
      <c r="F267">
        <v>1.35E-2</v>
      </c>
      <c r="G267" s="37">
        <f t="shared" si="4"/>
        <v>4.1170000000000009</v>
      </c>
    </row>
    <row r="268" spans="2:7" x14ac:dyDescent="0.2">
      <c r="B268" t="s">
        <v>553</v>
      </c>
      <c r="C268" s="2">
        <v>0.92569444444444404</v>
      </c>
      <c r="D268" s="2"/>
      <c r="E268" s="1">
        <v>728374120</v>
      </c>
      <c r="F268">
        <v>1.35E-2</v>
      </c>
      <c r="G268" s="37">
        <f t="shared" si="4"/>
        <v>4.1305000000000005</v>
      </c>
    </row>
    <row r="269" spans="2:7" x14ac:dyDescent="0.2">
      <c r="B269" t="s">
        <v>555</v>
      </c>
      <c r="C269" s="2">
        <v>0.92638888888888804</v>
      </c>
      <c r="D269" s="2"/>
      <c r="E269" s="1">
        <v>728273740</v>
      </c>
      <c r="F269">
        <v>1.35E-2</v>
      </c>
      <c r="G269" s="37">
        <f t="shared" si="4"/>
        <v>4.1440000000000001</v>
      </c>
    </row>
    <row r="270" spans="2:7" x14ac:dyDescent="0.2">
      <c r="B270" t="s">
        <v>557</v>
      </c>
      <c r="C270" s="2">
        <v>0.92708333333333204</v>
      </c>
      <c r="D270" s="2"/>
      <c r="E270" s="1">
        <v>728209710</v>
      </c>
      <c r="F270">
        <v>1.35E-2</v>
      </c>
      <c r="G270" s="37">
        <f t="shared" si="4"/>
        <v>4.1574999999999998</v>
      </c>
    </row>
    <row r="271" spans="2:7" x14ac:dyDescent="0.2">
      <c r="B271" t="s">
        <v>559</v>
      </c>
      <c r="C271" s="2">
        <v>0.92777777777777704</v>
      </c>
      <c r="D271" s="2"/>
      <c r="E271" s="1">
        <v>728357170</v>
      </c>
      <c r="F271">
        <v>1.35E-2</v>
      </c>
      <c r="G271" s="37">
        <f t="shared" si="4"/>
        <v>4.1709999999999994</v>
      </c>
    </row>
    <row r="272" spans="2:7" x14ac:dyDescent="0.2">
      <c r="B272" t="s">
        <v>561</v>
      </c>
      <c r="C272" s="2">
        <v>0.92847222222222103</v>
      </c>
      <c r="D272" s="2"/>
      <c r="E272" s="1">
        <v>728444660</v>
      </c>
      <c r="F272">
        <v>1.35E-2</v>
      </c>
      <c r="G272" s="37">
        <f t="shared" si="4"/>
        <v>4.184499999999999</v>
      </c>
    </row>
    <row r="273" spans="2:7" x14ac:dyDescent="0.2">
      <c r="B273" t="s">
        <v>563</v>
      </c>
      <c r="C273" s="2">
        <v>0.92916666666666603</v>
      </c>
      <c r="D273" s="2"/>
      <c r="E273" s="1">
        <v>728389070</v>
      </c>
      <c r="F273">
        <v>1.35E-2</v>
      </c>
      <c r="G273" s="37">
        <f t="shared" si="4"/>
        <v>4.1979999999999986</v>
      </c>
    </row>
    <row r="274" spans="2:7" x14ac:dyDescent="0.2">
      <c r="B274" t="s">
        <v>565</v>
      </c>
      <c r="C274" s="2">
        <v>0.92986111111111003</v>
      </c>
      <c r="D274" s="2"/>
      <c r="E274" s="1">
        <v>728042840</v>
      </c>
      <c r="F274">
        <v>1.35E-2</v>
      </c>
      <c r="G274" s="37">
        <f t="shared" si="4"/>
        <v>4.2114999999999982</v>
      </c>
    </row>
    <row r="275" spans="2:7" x14ac:dyDescent="0.2">
      <c r="B275" t="s">
        <v>567</v>
      </c>
      <c r="C275" s="2">
        <v>0.93055555555555503</v>
      </c>
      <c r="D275" s="2"/>
      <c r="E275" s="1">
        <v>728295910</v>
      </c>
      <c r="F275">
        <v>1.35E-2</v>
      </c>
      <c r="G275" s="37">
        <f t="shared" si="4"/>
        <v>4.2249999999999979</v>
      </c>
    </row>
    <row r="276" spans="2:7" x14ac:dyDescent="0.2">
      <c r="B276" t="s">
        <v>569</v>
      </c>
      <c r="C276" s="2">
        <v>0.93124999999999902</v>
      </c>
      <c r="D276" s="2"/>
      <c r="E276" s="1">
        <v>728294530</v>
      </c>
      <c r="F276">
        <v>1.35E-2</v>
      </c>
      <c r="G276" s="37">
        <f t="shared" si="4"/>
        <v>4.2384999999999975</v>
      </c>
    </row>
    <row r="277" spans="2:7" x14ac:dyDescent="0.2">
      <c r="B277" t="s">
        <v>571</v>
      </c>
      <c r="C277" s="2">
        <v>0.93194444444444402</v>
      </c>
      <c r="D277" s="2"/>
      <c r="E277" s="1">
        <v>728493930</v>
      </c>
      <c r="F277">
        <v>1.35E-2</v>
      </c>
      <c r="G277" s="37">
        <f t="shared" si="4"/>
        <v>4.2519999999999971</v>
      </c>
    </row>
    <row r="278" spans="2:7" x14ac:dyDescent="0.2">
      <c r="B278" t="s">
        <v>573</v>
      </c>
      <c r="C278" s="2">
        <v>0.93263888888888802</v>
      </c>
      <c r="D278" s="2"/>
      <c r="E278" s="1">
        <v>728241800</v>
      </c>
      <c r="F278">
        <v>1.35E-2</v>
      </c>
      <c r="G278" s="37">
        <f t="shared" si="4"/>
        <v>4.2654999999999967</v>
      </c>
    </row>
    <row r="279" spans="2:7" x14ac:dyDescent="0.2">
      <c r="B279" t="s">
        <v>575</v>
      </c>
      <c r="C279" s="2">
        <v>0.93333333333333202</v>
      </c>
      <c r="D279" s="2"/>
      <c r="E279" s="1">
        <v>728504750</v>
      </c>
      <c r="F279">
        <v>1.35E-2</v>
      </c>
      <c r="G279" s="37">
        <f t="shared" si="4"/>
        <v>4.2789999999999964</v>
      </c>
    </row>
    <row r="280" spans="2:7" x14ac:dyDescent="0.2">
      <c r="B280" t="s">
        <v>577</v>
      </c>
      <c r="C280" s="2">
        <v>0.93402777777777701</v>
      </c>
      <c r="D280" s="2"/>
      <c r="E280" s="1">
        <v>728594790</v>
      </c>
      <c r="F280">
        <v>1.35E-2</v>
      </c>
      <c r="G280" s="37">
        <f t="shared" si="4"/>
        <v>4.292499999999996</v>
      </c>
    </row>
    <row r="281" spans="2:7" x14ac:dyDescent="0.2">
      <c r="B281" t="s">
        <v>579</v>
      </c>
      <c r="C281" s="2">
        <v>0.93472222222222101</v>
      </c>
      <c r="D281" s="2"/>
      <c r="E281" s="1">
        <v>728313570</v>
      </c>
      <c r="F281">
        <v>1.35E-2</v>
      </c>
      <c r="G281" s="37">
        <f t="shared" si="4"/>
        <v>4.3059999999999956</v>
      </c>
    </row>
    <row r="282" spans="2:7" x14ac:dyDescent="0.2">
      <c r="B282" t="s">
        <v>581</v>
      </c>
      <c r="C282" s="2">
        <v>0.93541666666666601</v>
      </c>
      <c r="D282" s="2"/>
      <c r="E282" s="1">
        <v>728563450</v>
      </c>
      <c r="F282">
        <v>1.35E-2</v>
      </c>
      <c r="G282" s="37">
        <f t="shared" si="4"/>
        <v>4.3194999999999952</v>
      </c>
    </row>
    <row r="283" spans="2:7" x14ac:dyDescent="0.2">
      <c r="B283" t="s">
        <v>583</v>
      </c>
      <c r="C283" s="2">
        <v>0.93611111111111001</v>
      </c>
      <c r="D283" s="2"/>
      <c r="E283" s="1">
        <v>728203870</v>
      </c>
      <c r="F283">
        <v>1.35E-2</v>
      </c>
      <c r="G283" s="37">
        <f t="shared" si="4"/>
        <v>4.3329999999999949</v>
      </c>
    </row>
    <row r="284" spans="2:7" x14ac:dyDescent="0.2">
      <c r="B284" t="s">
        <v>585</v>
      </c>
      <c r="C284" s="2">
        <v>0.936805555555555</v>
      </c>
      <c r="D284" s="2"/>
      <c r="E284" s="1">
        <v>728510700</v>
      </c>
      <c r="F284">
        <v>1.35E-2</v>
      </c>
      <c r="G284" s="37">
        <f t="shared" si="4"/>
        <v>4.3464999999999945</v>
      </c>
    </row>
    <row r="285" spans="2:7" x14ac:dyDescent="0.2">
      <c r="B285" t="s">
        <v>587</v>
      </c>
      <c r="C285" s="2">
        <v>0.937499999999999</v>
      </c>
      <c r="D285" s="2"/>
      <c r="E285" s="1">
        <v>728673740</v>
      </c>
      <c r="F285">
        <v>1.35E-2</v>
      </c>
      <c r="G285" s="37">
        <f t="shared" si="4"/>
        <v>4.3599999999999941</v>
      </c>
    </row>
    <row r="286" spans="2:7" s="30" customFormat="1" x14ac:dyDescent="0.2">
      <c r="B286" s="30" t="s">
        <v>589</v>
      </c>
      <c r="C286" s="31">
        <v>0.938194444444444</v>
      </c>
      <c r="D286" s="31"/>
      <c r="E286" s="32">
        <v>728859690</v>
      </c>
      <c r="F286" s="30">
        <v>1.3125E-2</v>
      </c>
      <c r="G286" s="37">
        <f t="shared" si="4"/>
        <v>4.3731249999999937</v>
      </c>
    </row>
    <row r="287" spans="2:7" x14ac:dyDescent="0.2">
      <c r="B287" t="s">
        <v>591</v>
      </c>
      <c r="C287" s="2">
        <v>0.938888888888888</v>
      </c>
      <c r="D287" s="2"/>
      <c r="E287" s="1">
        <v>728515300</v>
      </c>
      <c r="F287">
        <v>1.3125E-2</v>
      </c>
      <c r="G287" s="37">
        <f t="shared" si="4"/>
        <v>4.3862499999999933</v>
      </c>
    </row>
    <row r="288" spans="2:7" x14ac:dyDescent="0.2">
      <c r="B288" t="s">
        <v>593</v>
      </c>
      <c r="C288" s="2">
        <v>0.93958333333333199</v>
      </c>
      <c r="D288" s="2"/>
      <c r="E288" s="1">
        <v>728779330</v>
      </c>
      <c r="F288">
        <v>1.3125E-2</v>
      </c>
      <c r="G288" s="37">
        <f t="shared" si="4"/>
        <v>4.3993749999999929</v>
      </c>
    </row>
    <row r="289" spans="2:7" x14ac:dyDescent="0.2">
      <c r="B289" t="s">
        <v>595</v>
      </c>
      <c r="C289" s="2">
        <v>0.94027777777777699</v>
      </c>
      <c r="D289" s="2"/>
      <c r="E289" s="1">
        <v>728833810</v>
      </c>
      <c r="F289">
        <v>1.3125E-2</v>
      </c>
      <c r="G289" s="37">
        <f t="shared" si="4"/>
        <v>4.4124999999999925</v>
      </c>
    </row>
    <row r="290" spans="2:7" x14ac:dyDescent="0.2">
      <c r="B290" t="s">
        <v>597</v>
      </c>
      <c r="C290" s="2">
        <v>0.94097222222222099</v>
      </c>
      <c r="D290" s="2"/>
      <c r="E290" s="1">
        <v>728903490</v>
      </c>
      <c r="F290">
        <v>1.3125E-2</v>
      </c>
      <c r="G290" s="37">
        <f t="shared" si="4"/>
        <v>4.4256249999999921</v>
      </c>
    </row>
    <row r="291" spans="2:7" x14ac:dyDescent="0.2">
      <c r="B291" t="s">
        <v>599</v>
      </c>
      <c r="C291" s="2">
        <v>0.94166666666666599</v>
      </c>
      <c r="D291" s="2"/>
      <c r="E291" s="1">
        <v>728567890</v>
      </c>
      <c r="F291">
        <v>1.3125E-2</v>
      </c>
      <c r="G291" s="37">
        <f t="shared" si="4"/>
        <v>4.4387499999999918</v>
      </c>
    </row>
    <row r="292" spans="2:7" x14ac:dyDescent="0.2">
      <c r="B292" t="s">
        <v>601</v>
      </c>
      <c r="C292" s="2">
        <v>0.94236111111110998</v>
      </c>
      <c r="D292" s="2"/>
      <c r="E292" s="1">
        <v>728836250</v>
      </c>
      <c r="F292">
        <v>1.3125E-2</v>
      </c>
      <c r="G292" s="37">
        <f t="shared" si="4"/>
        <v>4.4518749999999914</v>
      </c>
    </row>
    <row r="293" spans="2:7" x14ac:dyDescent="0.2">
      <c r="B293" t="s">
        <v>603</v>
      </c>
      <c r="C293" s="2">
        <v>0.94305555555555498</v>
      </c>
      <c r="D293" s="2"/>
      <c r="E293" s="1">
        <v>728751600</v>
      </c>
      <c r="F293">
        <v>1.3125E-2</v>
      </c>
      <c r="G293" s="37">
        <f t="shared" si="4"/>
        <v>4.464999999999991</v>
      </c>
    </row>
    <row r="294" spans="2:7" x14ac:dyDescent="0.2">
      <c r="B294" t="s">
        <v>605</v>
      </c>
      <c r="C294" s="2">
        <v>0.94374999999999898</v>
      </c>
      <c r="D294" s="2"/>
      <c r="E294" s="1">
        <v>728767440</v>
      </c>
      <c r="F294">
        <v>1.3125E-2</v>
      </c>
      <c r="G294" s="37">
        <f t="shared" si="4"/>
        <v>4.4781249999999906</v>
      </c>
    </row>
    <row r="295" spans="2:7" x14ac:dyDescent="0.2">
      <c r="B295" t="s">
        <v>607</v>
      </c>
      <c r="C295" s="2">
        <v>0.94444444444444298</v>
      </c>
      <c r="D295" s="2"/>
      <c r="E295" s="1">
        <v>728156030</v>
      </c>
      <c r="F295">
        <v>1.3125E-2</v>
      </c>
      <c r="G295" s="37">
        <f t="shared" si="4"/>
        <v>4.4912499999999902</v>
      </c>
    </row>
    <row r="296" spans="2:7" x14ac:dyDescent="0.2">
      <c r="B296" t="s">
        <v>609</v>
      </c>
      <c r="C296" s="2">
        <v>0.94513888888888797</v>
      </c>
      <c r="D296" s="2"/>
      <c r="E296" s="1">
        <v>729039070</v>
      </c>
      <c r="F296">
        <v>1.3125E-2</v>
      </c>
      <c r="G296" s="37">
        <f t="shared" si="4"/>
        <v>4.5043749999999898</v>
      </c>
    </row>
    <row r="297" spans="2:7" x14ac:dyDescent="0.2">
      <c r="B297" t="s">
        <v>611</v>
      </c>
      <c r="C297" s="2">
        <v>0.94583333333333197</v>
      </c>
      <c r="D297" s="2"/>
      <c r="E297" s="1">
        <v>728837540</v>
      </c>
      <c r="F297">
        <v>1.3125E-2</v>
      </c>
      <c r="G297" s="37">
        <f t="shared" si="4"/>
        <v>4.5174999999999894</v>
      </c>
    </row>
    <row r="298" spans="2:7" x14ac:dyDescent="0.2">
      <c r="B298" t="s">
        <v>613</v>
      </c>
      <c r="C298" s="2">
        <v>0.94652777777777697</v>
      </c>
      <c r="D298" s="2"/>
      <c r="E298" s="1">
        <v>728815750</v>
      </c>
      <c r="F298">
        <v>1.3125E-2</v>
      </c>
      <c r="G298" s="37">
        <f t="shared" si="4"/>
        <v>4.530624999999989</v>
      </c>
    </row>
    <row r="299" spans="2:7" x14ac:dyDescent="0.2">
      <c r="B299" t="s">
        <v>615</v>
      </c>
      <c r="C299" s="2">
        <v>0.94722222222222097</v>
      </c>
      <c r="D299" s="2"/>
      <c r="E299" s="1">
        <v>728664270</v>
      </c>
      <c r="F299">
        <v>1.3125E-2</v>
      </c>
      <c r="G299" s="37">
        <f t="shared" si="4"/>
        <v>4.5437499999999886</v>
      </c>
    </row>
    <row r="300" spans="2:7" x14ac:dyDescent="0.2">
      <c r="B300" t="s">
        <v>617</v>
      </c>
      <c r="C300" s="2">
        <v>0.94791666666666596</v>
      </c>
      <c r="D300" s="2"/>
      <c r="E300" s="1">
        <v>728736380</v>
      </c>
      <c r="F300">
        <v>1.3125E-2</v>
      </c>
      <c r="G300" s="37">
        <f t="shared" si="4"/>
        <v>4.5568749999999882</v>
      </c>
    </row>
    <row r="301" spans="2:7" x14ac:dyDescent="0.2">
      <c r="B301" t="s">
        <v>619</v>
      </c>
      <c r="C301" s="2">
        <v>0.94861111111110996</v>
      </c>
      <c r="D301" s="2"/>
      <c r="E301" s="1">
        <v>728858170</v>
      </c>
      <c r="F301">
        <v>1.3125E-2</v>
      </c>
      <c r="G301" s="37">
        <f t="shared" si="4"/>
        <v>4.5699999999999878</v>
      </c>
    </row>
    <row r="302" spans="2:7" s="30" customFormat="1" x14ac:dyDescent="0.2">
      <c r="B302" s="30" t="s">
        <v>621</v>
      </c>
      <c r="C302" s="31">
        <v>0.94930555555555496</v>
      </c>
      <c r="D302" s="31"/>
      <c r="E302" s="32">
        <v>728730690</v>
      </c>
      <c r="F302" s="30">
        <v>1.3333333333333199E-2</v>
      </c>
      <c r="G302" s="37">
        <f t="shared" si="4"/>
        <v>4.5833333333333215</v>
      </c>
    </row>
    <row r="303" spans="2:7" x14ac:dyDescent="0.2">
      <c r="B303" t="s">
        <v>623</v>
      </c>
      <c r="C303" s="2">
        <v>0.94999999999999896</v>
      </c>
      <c r="D303" s="2"/>
      <c r="E303" s="1">
        <v>728957780</v>
      </c>
      <c r="F303">
        <v>1.3333333333333199E-2</v>
      </c>
      <c r="G303" s="37">
        <f t="shared" si="4"/>
        <v>4.5966666666666551</v>
      </c>
    </row>
    <row r="304" spans="2:7" x14ac:dyDescent="0.2">
      <c r="B304" t="s">
        <v>625</v>
      </c>
      <c r="C304" s="2">
        <v>0.95069444444444295</v>
      </c>
      <c r="D304" s="2"/>
      <c r="E304" s="1">
        <v>729006620</v>
      </c>
      <c r="F304">
        <v>1.3333333333333199E-2</v>
      </c>
      <c r="G304" s="37">
        <f t="shared" si="4"/>
        <v>4.6099999999999888</v>
      </c>
    </row>
    <row r="305" spans="2:7" x14ac:dyDescent="0.2">
      <c r="B305" t="s">
        <v>627</v>
      </c>
      <c r="C305" s="2">
        <v>0.95138888888888795</v>
      </c>
      <c r="D305" s="2"/>
      <c r="E305" s="1">
        <v>728921380</v>
      </c>
      <c r="F305">
        <v>1.3333333333333199E-2</v>
      </c>
      <c r="G305" s="37">
        <f t="shared" si="4"/>
        <v>4.6233333333333224</v>
      </c>
    </row>
    <row r="306" spans="2:7" x14ac:dyDescent="0.2">
      <c r="B306" t="s">
        <v>629</v>
      </c>
      <c r="C306" s="2">
        <v>0.95208333333333195</v>
      </c>
      <c r="D306" s="2"/>
      <c r="E306" s="1">
        <v>728894380</v>
      </c>
      <c r="F306">
        <v>1.3333333333333199E-2</v>
      </c>
      <c r="G306" s="37">
        <f t="shared" si="4"/>
        <v>4.6366666666666561</v>
      </c>
    </row>
    <row r="307" spans="2:7" x14ac:dyDescent="0.2">
      <c r="B307" t="s">
        <v>631</v>
      </c>
      <c r="C307" s="2">
        <v>0.95277777777777695</v>
      </c>
      <c r="D307" s="2"/>
      <c r="E307" s="1">
        <v>729102830</v>
      </c>
      <c r="F307">
        <v>1.3333333333333199E-2</v>
      </c>
      <c r="G307" s="37">
        <f t="shared" si="4"/>
        <v>4.6499999999999897</v>
      </c>
    </row>
    <row r="308" spans="2:7" x14ac:dyDescent="0.2">
      <c r="B308" t="s">
        <v>633</v>
      </c>
      <c r="C308" s="2">
        <v>0.95347222222222106</v>
      </c>
      <c r="D308" s="2"/>
      <c r="E308" s="1">
        <v>728691520</v>
      </c>
      <c r="F308">
        <v>1.3333333333333199E-2</v>
      </c>
      <c r="G308" s="37">
        <f t="shared" si="4"/>
        <v>4.6633333333333233</v>
      </c>
    </row>
    <row r="309" spans="2:7" x14ac:dyDescent="0.2">
      <c r="B309" t="s">
        <v>635</v>
      </c>
      <c r="C309" s="2">
        <v>0.95416666666666605</v>
      </c>
      <c r="D309" s="2"/>
      <c r="E309" s="1">
        <v>729040910</v>
      </c>
      <c r="F309">
        <v>1.3333333333333199E-2</v>
      </c>
      <c r="G309" s="37">
        <f t="shared" si="4"/>
        <v>4.676666666666657</v>
      </c>
    </row>
    <row r="310" spans="2:7" x14ac:dyDescent="0.2">
      <c r="B310" t="s">
        <v>637</v>
      </c>
      <c r="C310" s="2">
        <v>0.95486111111111005</v>
      </c>
      <c r="D310" s="2"/>
      <c r="E310" s="1">
        <v>728870450</v>
      </c>
      <c r="F310">
        <v>1.3333333333333199E-2</v>
      </c>
      <c r="G310" s="37">
        <f t="shared" si="4"/>
        <v>4.6899999999999906</v>
      </c>
    </row>
    <row r="311" spans="2:7" x14ac:dyDescent="0.2">
      <c r="B311" t="s">
        <v>639</v>
      </c>
      <c r="C311" s="2">
        <v>0.95555555555555505</v>
      </c>
      <c r="D311" s="2"/>
      <c r="E311" s="1">
        <v>728964440</v>
      </c>
      <c r="F311">
        <v>1.3333333333333199E-2</v>
      </c>
      <c r="G311" s="37">
        <f t="shared" si="4"/>
        <v>4.7033333333333243</v>
      </c>
    </row>
    <row r="312" spans="2:7" x14ac:dyDescent="0.2">
      <c r="B312" t="s">
        <v>641</v>
      </c>
      <c r="C312" s="2">
        <v>0.95624999999999905</v>
      </c>
      <c r="D312" s="2"/>
      <c r="E312" s="1">
        <v>729171610</v>
      </c>
      <c r="F312">
        <v>1.3333333333333199E-2</v>
      </c>
      <c r="G312" s="37">
        <f t="shared" si="4"/>
        <v>4.7166666666666579</v>
      </c>
    </row>
    <row r="313" spans="2:7" x14ac:dyDescent="0.2">
      <c r="B313" t="s">
        <v>643</v>
      </c>
      <c r="C313" s="2">
        <v>0.95694444444444304</v>
      </c>
      <c r="D313" s="2"/>
      <c r="E313" s="1">
        <v>729107990</v>
      </c>
      <c r="F313">
        <v>1.3333333333333199E-2</v>
      </c>
      <c r="G313" s="37">
        <f t="shared" si="4"/>
        <v>4.7299999999999915</v>
      </c>
    </row>
    <row r="331" spans="8:10" x14ac:dyDescent="0.2">
      <c r="H331" t="s">
        <v>774</v>
      </c>
    </row>
    <row r="333" spans="8:10" x14ac:dyDescent="0.2">
      <c r="H333" t="s">
        <v>645</v>
      </c>
      <c r="I333" s="2">
        <v>0.95763888888888804</v>
      </c>
      <c r="J333" s="1">
        <v>729102680</v>
      </c>
    </row>
    <row r="334" spans="8:10" x14ac:dyDescent="0.2">
      <c r="H334" t="s">
        <v>647</v>
      </c>
      <c r="I334" s="2">
        <v>0.95833333333333204</v>
      </c>
      <c r="J334" s="1">
        <v>729248010</v>
      </c>
    </row>
    <row r="335" spans="8:10" x14ac:dyDescent="0.2">
      <c r="H335" t="s">
        <v>649</v>
      </c>
      <c r="I335" s="2">
        <v>0.95902777777777704</v>
      </c>
      <c r="J335" s="1">
        <v>729214330</v>
      </c>
    </row>
    <row r="336" spans="8:10" x14ac:dyDescent="0.2">
      <c r="H336" t="s">
        <v>651</v>
      </c>
      <c r="I336" s="2">
        <v>0.95972222222222103</v>
      </c>
      <c r="J336" s="1">
        <v>729062190</v>
      </c>
    </row>
    <row r="337" spans="8:10" x14ac:dyDescent="0.2">
      <c r="H337" t="s">
        <v>653</v>
      </c>
      <c r="I337" s="2">
        <v>0.96041666666666603</v>
      </c>
      <c r="J337" s="1">
        <v>729025030</v>
      </c>
    </row>
    <row r="338" spans="8:10" x14ac:dyDescent="0.2">
      <c r="H338" t="s">
        <v>655</v>
      </c>
      <c r="I338" s="2">
        <v>0.96111111111111003</v>
      </c>
      <c r="J338" s="1">
        <v>728941360</v>
      </c>
    </row>
    <row r="339" spans="8:10" x14ac:dyDescent="0.2">
      <c r="H339" t="s">
        <v>657</v>
      </c>
      <c r="I339" s="2">
        <v>0.96180555555555503</v>
      </c>
      <c r="J339" s="1">
        <v>729285100</v>
      </c>
    </row>
    <row r="340" spans="8:10" x14ac:dyDescent="0.2">
      <c r="H340" t="s">
        <v>659</v>
      </c>
      <c r="I340" s="2">
        <v>0.96249999999999902</v>
      </c>
      <c r="J340" s="1">
        <v>729246560</v>
      </c>
    </row>
    <row r="341" spans="8:10" x14ac:dyDescent="0.2">
      <c r="H341" t="s">
        <v>661</v>
      </c>
      <c r="I341" s="2">
        <v>0.96319444444444302</v>
      </c>
      <c r="J341" s="1">
        <v>728977410</v>
      </c>
    </row>
    <row r="342" spans="8:10" x14ac:dyDescent="0.2">
      <c r="H342" t="s">
        <v>663</v>
      </c>
      <c r="I342" s="2">
        <v>0.96388888888888802</v>
      </c>
      <c r="J342" s="1">
        <v>729451840</v>
      </c>
    </row>
    <row r="343" spans="8:10" x14ac:dyDescent="0.2">
      <c r="H343" t="s">
        <v>665</v>
      </c>
      <c r="I343" s="2">
        <v>0.96458333333333202</v>
      </c>
      <c r="J343" s="1">
        <v>729522760</v>
      </c>
    </row>
    <row r="344" spans="8:10" x14ac:dyDescent="0.2">
      <c r="H344" t="s">
        <v>667</v>
      </c>
      <c r="I344" s="2">
        <v>0.96527777777777701</v>
      </c>
      <c r="J344" s="1">
        <v>729147560</v>
      </c>
    </row>
    <row r="345" spans="8:10" x14ac:dyDescent="0.2">
      <c r="H345" t="s">
        <v>669</v>
      </c>
      <c r="I345" s="2">
        <v>0.96597222222222101</v>
      </c>
      <c r="J345" s="1">
        <v>729384660</v>
      </c>
    </row>
    <row r="346" spans="8:10" x14ac:dyDescent="0.2">
      <c r="H346" t="s">
        <v>671</v>
      </c>
      <c r="I346" s="2">
        <v>0.96666666666666601</v>
      </c>
      <c r="J346" s="1">
        <v>729298750</v>
      </c>
    </row>
    <row r="347" spans="8:10" x14ac:dyDescent="0.2">
      <c r="H347" t="s">
        <v>673</v>
      </c>
      <c r="I347" s="2">
        <v>0.96736111111111001</v>
      </c>
      <c r="J347" s="1">
        <v>729693630</v>
      </c>
    </row>
    <row r="348" spans="8:10" x14ac:dyDescent="0.2">
      <c r="H348" t="s">
        <v>675</v>
      </c>
      <c r="I348" s="2">
        <v>0.968055555555555</v>
      </c>
      <c r="J348" s="1">
        <v>728605670</v>
      </c>
    </row>
    <row r="349" spans="8:10" x14ac:dyDescent="0.2">
      <c r="H349" t="s">
        <v>677</v>
      </c>
      <c r="I349" s="2">
        <v>0.968749999999999</v>
      </c>
      <c r="J349" s="1">
        <v>727725390</v>
      </c>
    </row>
    <row r="350" spans="8:10" x14ac:dyDescent="0.2">
      <c r="H350" t="s">
        <v>679</v>
      </c>
      <c r="I350" s="2">
        <v>0.969444444444443</v>
      </c>
      <c r="J350" s="1">
        <v>726042180</v>
      </c>
    </row>
    <row r="351" spans="8:10" x14ac:dyDescent="0.2">
      <c r="H351" t="s">
        <v>681</v>
      </c>
      <c r="I351" s="2">
        <v>0.970138888888888</v>
      </c>
      <c r="J351" s="1">
        <v>725356250</v>
      </c>
    </row>
    <row r="352" spans="8:10" x14ac:dyDescent="0.2">
      <c r="H352" t="s">
        <v>683</v>
      </c>
      <c r="I352" s="2">
        <v>0.97083333333333199</v>
      </c>
      <c r="J352" s="1">
        <v>727360020</v>
      </c>
    </row>
    <row r="353" spans="8:10" x14ac:dyDescent="0.2">
      <c r="H353" t="s">
        <v>685</v>
      </c>
      <c r="I353" s="2">
        <v>0.97152777777777699</v>
      </c>
      <c r="J353" s="1">
        <v>730078630</v>
      </c>
    </row>
    <row r="354" spans="8:10" x14ac:dyDescent="0.2">
      <c r="H354" t="s">
        <v>687</v>
      </c>
      <c r="I354" s="2">
        <v>0.97222222222222099</v>
      </c>
      <c r="J354" s="1">
        <v>731125490</v>
      </c>
    </row>
    <row r="355" spans="8:10" x14ac:dyDescent="0.2">
      <c r="H355" t="s">
        <v>689</v>
      </c>
      <c r="I355" s="2">
        <v>0.97291666666666599</v>
      </c>
      <c r="J355" s="1">
        <v>729931220</v>
      </c>
    </row>
    <row r="356" spans="8:10" x14ac:dyDescent="0.2">
      <c r="H356" t="s">
        <v>691</v>
      </c>
      <c r="I356" s="2">
        <v>0.97361111111110998</v>
      </c>
      <c r="J356" s="1">
        <v>725071410</v>
      </c>
    </row>
  </sheetData>
  <pageMargins left="0.7" right="0.7" top="0.75" bottom="0.75" header="0.3" footer="0.3"/>
  <drawing r:id="rId1"/>
</worksheet>
</file>